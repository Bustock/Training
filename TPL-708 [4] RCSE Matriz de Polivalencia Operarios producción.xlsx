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Training\"/>
    </mc:Choice>
  </mc:AlternateContent>
  <xr:revisionPtr revIDLastSave="0" documentId="13_ncr:1_{54318D8C-A71C-4870-B7C6-35D62FA5D735}" xr6:coauthVersionLast="47" xr6:coauthVersionMax="47" xr10:uidLastSave="{00000000-0000-0000-0000-000000000000}"/>
  <bookViews>
    <workbookView xWindow="-17565" yWindow="2445" windowWidth="19155" windowHeight="15585" firstSheet="1" activeTab="1" xr2:uid="{99D3D415-75B1-45FF-A9DD-36F70A54E67C}"/>
  </bookViews>
  <sheets>
    <sheet name="Operarios producción V1.00" sheetId="2" state="hidden" r:id="rId1"/>
    <sheet name="Operarios producción" sheetId="4" r:id="rId2"/>
    <sheet name="Hoja1" sheetId="7" r:id="rId3"/>
  </sheets>
  <definedNames>
    <definedName name="_xlnm._FilterDatabase" localSheetId="1" hidden="1">'Operarios producción'!$A$3:$AZ$385</definedName>
    <definedName name="_xlnm._FilterDatabase" localSheetId="0" hidden="1">'Operarios producción V1.00'!$A$1:$AC$1</definedName>
    <definedName name="_xlnm.Print_Titles" localSheetId="1">'Operarios producción'!$1:$3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365" i="4" l="1"/>
  <c r="BB365" i="4" s="1"/>
  <c r="BB364" i="4"/>
  <c r="BA364" i="4"/>
  <c r="BA363" i="4"/>
  <c r="BA6" i="4"/>
  <c r="BB6" i="4" s="1"/>
  <c r="BA5" i="4"/>
  <c r="BB5" i="4" s="1"/>
  <c r="BA4" i="4"/>
  <c r="AX2" i="7"/>
  <c r="AY2" i="7" s="1"/>
  <c r="AX1" i="7"/>
  <c r="AX3" i="7"/>
  <c r="AY3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tc={E2BE93AB-8F1F-4D9D-A2C4-77AEEC7A23E6}</author>
  </authors>
  <commentList>
    <comment ref="T81" authorId="0" shapeId="0" xr:uid="{E2BE93AB-8F1F-4D9D-A2C4-77AEEC7A23E6}">
      <text>
        <t>[Threaded comment]
Your version of Excel allows you to read this threaded comment; however, any edits to it will get removed if the file is opened in a newer version of Excel. Learn more: https://go.microsoft.com/fwlink/?linkid=870924
Comment:
    Sólo retros, alergia lacas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tc={C3722FC4-6782-403E-B4FC-1DA5E103C4F4}</author>
  </authors>
  <commentList>
    <comment ref="AC57" authorId="0" shapeId="0" xr:uid="{C3722FC4-6782-403E-B4FC-1DA5E103C4F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ACTA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tc={C9AC2084-D459-4C1F-B2E7-E74EA9FFE0C8}</author>
  </authors>
  <commentList>
    <comment ref="AA31" authorId="0" shapeId="0" xr:uid="{C9AC2084-D459-4C1F-B2E7-E74EA9FFE0C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ACTA</t>
      </text>
    </comment>
  </commentList>
</comments>
</file>

<file path=xl/sharedStrings.xml><?xml version="1.0" encoding="utf-8"?>
<sst xmlns="http://schemas.openxmlformats.org/spreadsheetml/2006/main" count="1125" uniqueCount="487">
  <si>
    <t>Operario</t>
  </si>
  <si>
    <t>CONFIRM</t>
  </si>
  <si>
    <t>DIAG. ITE</t>
  </si>
  <si>
    <t>DIAG. BTE</t>
  </si>
  <si>
    <t>DIAG.FM/DWA</t>
  </si>
  <si>
    <t>REPAIR FM/DWA</t>
  </si>
  <si>
    <t>REPAIR BTE</t>
  </si>
  <si>
    <t>DIAG. SDS</t>
  </si>
  <si>
    <t>ORDER PRINT</t>
  </si>
  <si>
    <t>RSM</t>
  </si>
  <si>
    <t>KITTING CUSTOM</t>
  </si>
  <si>
    <t>KITTING      BTE</t>
  </si>
  <si>
    <t>DCC</t>
  </si>
  <si>
    <t>KIT      PREP.</t>
  </si>
  <si>
    <t>DLP</t>
  </si>
  <si>
    <t>CLOSING</t>
  </si>
  <si>
    <t>CUT &amp; TRIM</t>
  </si>
  <si>
    <t>F&amp;L</t>
  </si>
  <si>
    <t>VISUAL</t>
  </si>
  <si>
    <t>PRO&amp; GO</t>
  </si>
  <si>
    <t>PACKING</t>
  </si>
  <si>
    <t>RUN</t>
  </si>
  <si>
    <t>MECANIZADO (MOLDES DINAMARCA)</t>
  </si>
  <si>
    <t>MECANIZADO (IMPRESIONES DINAMARCA)</t>
  </si>
  <si>
    <t>MECANIZADO (BIOPOR  ESPAÑA)</t>
  </si>
  <si>
    <t>MECANIZADO (BAÑO ESPAÑA)</t>
  </si>
  <si>
    <t>MUFLAS (DINAMARCA)</t>
  </si>
  <si>
    <t>MUFLAS (BIOPOR ESPAÑA)</t>
  </si>
  <si>
    <t>MUFLAS (BAÑO ESPAÑA)</t>
  </si>
  <si>
    <t>Versión: 1.00</t>
  </si>
  <si>
    <t>Fecha: 14/04/2020</t>
  </si>
  <si>
    <t>ABEL VILLALBA</t>
  </si>
  <si>
    <t>LEYENDA</t>
  </si>
  <si>
    <t>ABEL ZARAGOZA</t>
  </si>
  <si>
    <t>AINHOA MARTINEZ</t>
  </si>
  <si>
    <t>Formado</t>
  </si>
  <si>
    <t>Está formado pero no hace habitualmente el puesto.</t>
  </si>
  <si>
    <t>ALBERTO MANZANO</t>
  </si>
  <si>
    <t>ALEJANDRO BLAZQUEZ</t>
  </si>
  <si>
    <t>Habitualmente en el puesto</t>
  </si>
  <si>
    <t>ALEJANDRO LÚCIA</t>
  </si>
  <si>
    <t>ALEJANDRO SOLER</t>
  </si>
  <si>
    <t>Experto</t>
  </si>
  <si>
    <t>Puede apoyar en momentos de necesidad a formar a otros colaboradores bajo la supervisión de la responsable de formación</t>
  </si>
  <si>
    <t>ALFONSO GIMENEZ</t>
  </si>
  <si>
    <t>ALICIA PÉREZ</t>
  </si>
  <si>
    <t>En formación</t>
  </si>
  <si>
    <t>Es actualmento en formación. En Supervisión/evaluación</t>
  </si>
  <si>
    <t>ANA MARTÍNEZ</t>
  </si>
  <si>
    <t>ANDRÉS GUTIERREZ</t>
  </si>
  <si>
    <t>ANDRÉS REVILLA</t>
  </si>
  <si>
    <t>ANTON PEREGUDA</t>
  </si>
  <si>
    <t>ANTONIA JARA</t>
  </si>
  <si>
    <t>ANTONIO BAEZA</t>
  </si>
  <si>
    <t>ANTONIO MIRAVETE</t>
  </si>
  <si>
    <t>ANTONIO MOHEDANO</t>
  </si>
  <si>
    <t>ANTONIO MOLINA</t>
  </si>
  <si>
    <t>ASCENSIÓN GELARDO</t>
  </si>
  <si>
    <t>ASUNCION PATIÑO</t>
  </si>
  <si>
    <t>AZUCENA BEVIA</t>
  </si>
  <si>
    <t>BEGOÑA PICAZO</t>
  </si>
  <si>
    <t>CARLOS MELGAREJO</t>
  </si>
  <si>
    <t>CELIA CASES</t>
  </si>
  <si>
    <t>CHARI SOLER</t>
  </si>
  <si>
    <t>CLARA SERRANO</t>
  </si>
  <si>
    <t>CONCHI SOLER</t>
  </si>
  <si>
    <t>CRISTIAN MORCILLO</t>
  </si>
  <si>
    <t>DANIEL BUSTOS</t>
  </si>
  <si>
    <t>DAVID AMORRICH</t>
  </si>
  <si>
    <t>DAVID ARELLANO</t>
  </si>
  <si>
    <t>DAVID PEÑALVER</t>
  </si>
  <si>
    <t>EDUARDO CORONADO</t>
  </si>
  <si>
    <t>EDUARDO MARTÍNEZ</t>
  </si>
  <si>
    <t>EMILIA PUJALTE</t>
  </si>
  <si>
    <t>ENRIQUE ESTEVE</t>
  </si>
  <si>
    <t>ERIZ ESTALRICH</t>
  </si>
  <si>
    <t>FERMIN MOLINA</t>
  </si>
  <si>
    <t>FERNANDO ASENSI</t>
  </si>
  <si>
    <t>FRAN ALONSO</t>
  </si>
  <si>
    <t>FRANCISCO JAVIER CERDÁN</t>
  </si>
  <si>
    <t>FRANCISCO LOSA</t>
  </si>
  <si>
    <t>FRANCISCO TARI</t>
  </si>
  <si>
    <t>GERMAN GARCÍA</t>
  </si>
  <si>
    <t>HECTOR CABALLERO</t>
  </si>
  <si>
    <t>INMACULADA INIESTA</t>
  </si>
  <si>
    <t>ISMAEL ESCRIBANO</t>
  </si>
  <si>
    <t>ISMAEL MARTÍNEZ</t>
  </si>
  <si>
    <t>IVAN ALBEROLA</t>
  </si>
  <si>
    <t>IVAN DOMENECH</t>
  </si>
  <si>
    <t>JAVIER FAZZOLARI</t>
  </si>
  <si>
    <t>JEAN PIERRE RENARD</t>
  </si>
  <si>
    <t>JONATAN MERCADO</t>
  </si>
  <si>
    <t>JORGE SANCHEZ</t>
  </si>
  <si>
    <t>JOSE AGUSTÍN CANTÓ</t>
  </si>
  <si>
    <t>JOSE ANTONIO AGUILAR</t>
  </si>
  <si>
    <t>JOSE DAVID DOMENECH</t>
  </si>
  <si>
    <t>JOSE LUIS GARCIA</t>
  </si>
  <si>
    <t>JOSE LUIS GIL</t>
  </si>
  <si>
    <t>JOSE M. MATARREDONA</t>
  </si>
  <si>
    <t>JOSE MANUEL BAEZA</t>
  </si>
  <si>
    <t>JOSE MANUEL PARRES</t>
  </si>
  <si>
    <t>JOSE MARIA TOMAS</t>
  </si>
  <si>
    <t>JUAN ANTONIO RUFETE</t>
  </si>
  <si>
    <t>JUAN JOSE RODRIGUEZ</t>
  </si>
  <si>
    <t>JUAN MANUEL MILLA</t>
  </si>
  <si>
    <t>JUAN ÑIGUEZ</t>
  </si>
  <si>
    <t>JULIO CESAR AUCENON</t>
  </si>
  <si>
    <t>LAURA FERNÁNDEZ</t>
  </si>
  <si>
    <t>LAURA VERDU</t>
  </si>
  <si>
    <t>LINA VALENCIA</t>
  </si>
  <si>
    <t>LOLA MERCADO</t>
  </si>
  <si>
    <t>LOLI JIMÉNEZ</t>
  </si>
  <si>
    <t>LOLI ORTEGA</t>
  </si>
  <si>
    <t>LORENA LOPEZ</t>
  </si>
  <si>
    <t>LORENA TORÁ</t>
  </si>
  <si>
    <t>LOURDES NUÑEZ</t>
  </si>
  <si>
    <t>LUIS MATEO</t>
  </si>
  <si>
    <t>Mª ANGELES RIQUELME</t>
  </si>
  <si>
    <t>Mª JOSE LLORCA</t>
  </si>
  <si>
    <t>Mª JOSE ORTUÑO</t>
  </si>
  <si>
    <t>Mª MAR SERRANO</t>
  </si>
  <si>
    <t>MARCELO CAMARGO</t>
  </si>
  <si>
    <t>MARCOS GARCIA</t>
  </si>
  <si>
    <t>MARGARITA GONZALEZ</t>
  </si>
  <si>
    <t>MARGARITA ROMERO</t>
  </si>
  <si>
    <t>MARIA CANCHO</t>
  </si>
  <si>
    <t>MARIA SANZ</t>
  </si>
  <si>
    <t>MARIOLA BELMONTE</t>
  </si>
  <si>
    <t>MARISOL RICO</t>
  </si>
  <si>
    <t>MELANIA GORDO</t>
  </si>
  <si>
    <t>MIGUEL CLIMENT</t>
  </si>
  <si>
    <t>MONICA MASEGOSA</t>
  </si>
  <si>
    <t>NASSAR AZMI</t>
  </si>
  <si>
    <t>NATALIA PASTOR</t>
  </si>
  <si>
    <t>NEREA CHAVES</t>
  </si>
  <si>
    <t>NOEL SEABRA</t>
  </si>
  <si>
    <t>OTILIA SIMARRO</t>
  </si>
  <si>
    <t>PABLO TORRENTE</t>
  </si>
  <si>
    <t>PACO CASTELLÓ</t>
  </si>
  <si>
    <t>PALOMA IVORRA</t>
  </si>
  <si>
    <t>PAMELA MODINO</t>
  </si>
  <si>
    <t>PATRICIA GOMIS</t>
  </si>
  <si>
    <t>PEDRO MANUEL ANDREU</t>
  </si>
  <si>
    <t>PEDRO VIVES</t>
  </si>
  <si>
    <t>RAQUEL BERNABEU</t>
  </si>
  <si>
    <t>RASHID ABDESELAM</t>
  </si>
  <si>
    <t>RAUL ESCUDERO</t>
  </si>
  <si>
    <t>ROBERTO GIL</t>
  </si>
  <si>
    <t>ROBERTO LARRIBA</t>
  </si>
  <si>
    <t>ROCÍO RUIZ</t>
  </si>
  <si>
    <t>ROSA CEREZO</t>
  </si>
  <si>
    <t>ROSA SERRAIMA</t>
  </si>
  <si>
    <t>SAMUEL TORO</t>
  </si>
  <si>
    <t>SANDRA MORA</t>
  </si>
  <si>
    <t>SANDRO BAÑEGIL</t>
  </si>
  <si>
    <t>SAUL SANTOS</t>
  </si>
  <si>
    <t>SERGIO GARCÍA</t>
  </si>
  <si>
    <t>SILVESTRE BOTELLA</t>
  </si>
  <si>
    <t>SILVIA MORATALLA</t>
  </si>
  <si>
    <t>SILVIA SABATER</t>
  </si>
  <si>
    <t>SILVIA SAENZ</t>
  </si>
  <si>
    <t>SONIA CARRETERO</t>
  </si>
  <si>
    <t>SONIA CLIMENT</t>
  </si>
  <si>
    <t>SONIA GALLARDO</t>
  </si>
  <si>
    <t>SONIA TARÍ</t>
  </si>
  <si>
    <t>SONIA TARRAGA</t>
  </si>
  <si>
    <t>TOMÁS ARELLANO</t>
  </si>
  <si>
    <t>VERONICA ESCOBAR</t>
  </si>
  <si>
    <t>VERONICA GOMEZ</t>
  </si>
  <si>
    <t>VICKY SIRVENT</t>
  </si>
  <si>
    <t>VITALII PALAMARCHUK</t>
  </si>
  <si>
    <t>YESSICA ORTIZ</t>
  </si>
  <si>
    <t>YOLANDA CÁRCELES</t>
  </si>
  <si>
    <t>YOLANDA GARNERO</t>
  </si>
  <si>
    <t>YOLANDA LOZANO</t>
  </si>
  <si>
    <t>RCSE Matriz de Polivalencia Operarios producción</t>
  </si>
  <si>
    <t>OPEN MAIL</t>
  </si>
  <si>
    <t>ORDER ENTRY SERVICE</t>
  </si>
  <si>
    <t>ORDER ENTRY NEW</t>
  </si>
  <si>
    <t>DIAG. ITE SAF</t>
  </si>
  <si>
    <t>DIAG. SDS SAF</t>
  </si>
  <si>
    <t>DIAG. TITANIUM</t>
  </si>
  <si>
    <t>REPAIR CARGADORES</t>
  </si>
  <si>
    <t>MINI-KITTING</t>
  </si>
  <si>
    <t>KITTING BTE</t>
  </si>
  <si>
    <t>KIT PREP. SDS</t>
  </si>
  <si>
    <t>CLOSING SDS</t>
  </si>
  <si>
    <t>KIT PREP. ITE</t>
  </si>
  <si>
    <t>CLOSING ITE</t>
  </si>
  <si>
    <t>TITANIUM</t>
  </si>
  <si>
    <t>VISUAL ITE</t>
  </si>
  <si>
    <t>VISUAL SDS</t>
  </si>
  <si>
    <t>VISUAL BTE</t>
  </si>
  <si>
    <t>VISUAL FM/DWA</t>
  </si>
  <si>
    <t>PRO&amp; GO ITE</t>
  </si>
  <si>
    <t>PRO&amp; GO SDS</t>
  </si>
  <si>
    <t>PRO&amp; GO BTE</t>
  </si>
  <si>
    <t xml:space="preserve">PRO &amp; GO FM/DWA </t>
  </si>
  <si>
    <t>PACKING SERVICE</t>
  </si>
  <si>
    <t>PACKING NEW</t>
  </si>
  <si>
    <t>RPM-Desmontaje y limpieza</t>
  </si>
  <si>
    <t>RPM-Descontaminación</t>
  </si>
  <si>
    <t>RPM-LPS2 Bluetooth</t>
  </si>
  <si>
    <t>RPM-Visual y SNW2</t>
  </si>
  <si>
    <t>ACS2</t>
  </si>
  <si>
    <t>Sorting</t>
  </si>
  <si>
    <t>Refurbishing</t>
  </si>
  <si>
    <t>Reprocessing cargadores</t>
  </si>
  <si>
    <t>Packing RPM/Refurbishing</t>
  </si>
  <si>
    <t>ABEL GISBERT</t>
  </si>
  <si>
    <t>ADRIÁN BORDEA</t>
  </si>
  <si>
    <t>ADRIÁN GÓMEZ</t>
  </si>
  <si>
    <t>ADRIANA JEREZ</t>
  </si>
  <si>
    <t>ÁFRICA GARCÍA</t>
  </si>
  <si>
    <t>AINARA FUENTES</t>
  </si>
  <si>
    <t>AINHOA ESPARCIA</t>
  </si>
  <si>
    <t>AINHOA SOLER</t>
  </si>
  <si>
    <t>ALBA ROSA MARTÍNEZ</t>
  </si>
  <si>
    <t>ALBA SÁNCHEZ</t>
  </si>
  <si>
    <t>ALBERTO MOLERO</t>
  </si>
  <si>
    <t>ALEJANDRA MASCARELL</t>
  </si>
  <si>
    <t>ALEJANDRO ARIZA</t>
  </si>
  <si>
    <t>ALEJANDRO MEDINA</t>
  </si>
  <si>
    <t>ALEJANDRO RICO</t>
  </si>
  <si>
    <t>ALEXANDRA CASTELLANO</t>
  </si>
  <si>
    <t>ALEXANDRA SOLA</t>
  </si>
  <si>
    <t>ALEXANDRA WIZNER</t>
  </si>
  <si>
    <t>ANA BELÉN CARRIÓN</t>
  </si>
  <si>
    <t>ANA BELÉN MARTÍNEZ</t>
  </si>
  <si>
    <t>ANA Mª ARELLANO</t>
  </si>
  <si>
    <t>ANA Mª BAÑO</t>
  </si>
  <si>
    <t>ANDREA BENÍTEZ</t>
  </si>
  <si>
    <t>ÁNGEL MARTÍNEZ</t>
  </si>
  <si>
    <t>ÁNGELA FUENTES</t>
  </si>
  <si>
    <t>ANNY DUMÁN</t>
  </si>
  <si>
    <t>ANTONIO ARQUERO</t>
  </si>
  <si>
    <t>ANTONIO MANZANARO</t>
  </si>
  <si>
    <t>ARANTXA ORDÓÑEZ</t>
  </si>
  <si>
    <t xml:space="preserve">ARANTZAZU CANO </t>
  </si>
  <si>
    <t>AURELIO MARÍN</t>
  </si>
  <si>
    <t>AXEL DE LA PUENTE</t>
  </si>
  <si>
    <t>BEATRIZ GARCÍA</t>
  </si>
  <si>
    <t>BEGOÑA DEL RIO</t>
  </si>
  <si>
    <t>BELÉN GINER</t>
  </si>
  <si>
    <t>BRUNO GUILLÉN</t>
  </si>
  <si>
    <t>CARLA REINA</t>
  </si>
  <si>
    <t>CARLOTA CORRAL</t>
  </si>
  <si>
    <t>CARMEN LLEDÓ</t>
  </si>
  <si>
    <t>CÉSAR ORDAX</t>
  </si>
  <si>
    <t>CONCHI GALLUD</t>
  </si>
  <si>
    <t>CRISTINA CERRO</t>
  </si>
  <si>
    <t>CRISTINA GARCÍA</t>
  </si>
  <si>
    <t>DANIEL ALBERO</t>
  </si>
  <si>
    <t>DANIEL MOLINA</t>
  </si>
  <si>
    <t>DANIELA ALVAREZ</t>
  </si>
  <si>
    <t>DANIELA LUCERO</t>
  </si>
  <si>
    <t>DAVID JIMÉNEZ</t>
  </si>
  <si>
    <t>DAYANA SUÁREZ</t>
  </si>
  <si>
    <t>ELIAN CANTÓ</t>
  </si>
  <si>
    <t>EMMA AZORÍN</t>
  </si>
  <si>
    <t>ENRIQUE TOMÁS</t>
  </si>
  <si>
    <t>ESTEFANÍA MURCIA</t>
  </si>
  <si>
    <t>ESTHER MOLINA</t>
  </si>
  <si>
    <t>EVA FERRI</t>
  </si>
  <si>
    <t>EVA Mª LLORENS</t>
  </si>
  <si>
    <t>FADOUA MOUHOUCHT</t>
  </si>
  <si>
    <t>FRANCISCO ANTÓN</t>
  </si>
  <si>
    <t>FRANCISCO CALZADA</t>
  </si>
  <si>
    <t>GEMA PENALVA</t>
  </si>
  <si>
    <t>GERMAN VILLAREAL</t>
  </si>
  <si>
    <t>HECTOR GIRÓN</t>
  </si>
  <si>
    <t>IGOR ANDRÉS SANTOS</t>
  </si>
  <si>
    <t>IRATXE CUESTA</t>
  </si>
  <si>
    <t>ISABEL GONZÁLEZ</t>
  </si>
  <si>
    <t>ISABEL HIDALGO</t>
  </si>
  <si>
    <t>ISABEL MORENO</t>
  </si>
  <si>
    <t>ISRAEL GARCÍA</t>
  </si>
  <si>
    <t>IVAN MIRAVETE</t>
  </si>
  <si>
    <t>IVÁN PICÓ</t>
  </si>
  <si>
    <t>IVANKA CAÑIZARES</t>
  </si>
  <si>
    <t>JENNIFER MAREK</t>
  </si>
  <si>
    <t>JESSICA GARCIA</t>
  </si>
  <si>
    <t>JESUS CARRILLO</t>
  </si>
  <si>
    <t>JOAQUÍN GARCÍA</t>
  </si>
  <si>
    <t>JONATHAN SEMPERE</t>
  </si>
  <si>
    <t xml:space="preserve">JOSE MIGUEL MARTÍNEZ </t>
  </si>
  <si>
    <t>JULIÁN RAMÓN</t>
  </si>
  <si>
    <t>LAURA MORENO</t>
  </si>
  <si>
    <t>LAURA MUÑOZ</t>
  </si>
  <si>
    <t>LORENA ÁLVAREZ</t>
  </si>
  <si>
    <t>LUIS SUAREZ</t>
  </si>
  <si>
    <t>M ÁNGELES ABRIL</t>
  </si>
  <si>
    <t>Mª ÁNGELES RODRÍGUEZ</t>
  </si>
  <si>
    <t>Mª CARMEN GONZÁLEZ</t>
  </si>
  <si>
    <t>Mª CARMEN JIMÉNEZ</t>
  </si>
  <si>
    <t>Mª CARMEN SALVÁ</t>
  </si>
  <si>
    <t>Mª CARMEN SÁNCHEZ</t>
  </si>
  <si>
    <t>Mª JOSÉ FRUCTUOSO</t>
  </si>
  <si>
    <t>Mª JOSÉ LLORCA</t>
  </si>
  <si>
    <t>Mª JOSÉ ORTUÑO</t>
  </si>
  <si>
    <t>Mª LUISA VILLORA</t>
  </si>
  <si>
    <t>Mª TERESA TUDELA</t>
  </si>
  <si>
    <t>MAIRA ATLANTE</t>
  </si>
  <si>
    <t>MANUELA MARTINEZ</t>
  </si>
  <si>
    <t>MAR DE LAS ERAS</t>
  </si>
  <si>
    <t>MARCOS OLIVEROS</t>
  </si>
  <si>
    <t>MARÍA CABALLERO</t>
  </si>
  <si>
    <t>MARIA JOSE ANTUNES</t>
  </si>
  <si>
    <t>MARIANO FAZZOLARI</t>
  </si>
  <si>
    <t>MARINA LOZANO</t>
  </si>
  <si>
    <t>MARINA MAS</t>
  </si>
  <si>
    <t>MARINA PEREZ</t>
  </si>
  <si>
    <t>MARIO LLORENTE</t>
  </si>
  <si>
    <t>MARTA GARCÍA</t>
  </si>
  <si>
    <t>MAURO LUCAS</t>
  </si>
  <si>
    <t>MELANIA POZO</t>
  </si>
  <si>
    <t>MERCEDES CASTRO</t>
  </si>
  <si>
    <t>MIKEL MENO</t>
  </si>
  <si>
    <t>MIRIAM GARCÍA</t>
  </si>
  <si>
    <t>MIRIAM LUCAS</t>
  </si>
  <si>
    <t>MÓNICA MASEGOSA</t>
  </si>
  <si>
    <t>MÓNICA PÉREZ</t>
  </si>
  <si>
    <t>NOELIA GUILLÉN</t>
  </si>
  <si>
    <t>NOELIA RUEDA</t>
  </si>
  <si>
    <t>NURIA HERNÁNDEZ</t>
  </si>
  <si>
    <t>ÓSCAR PASCUAL</t>
  </si>
  <si>
    <t>PATRICIA MANTECA</t>
  </si>
  <si>
    <t>PATRICIA RODRIGUEZ</t>
  </si>
  <si>
    <t>PURI CAZORLA</t>
  </si>
  <si>
    <t>RAFAEL LÓPEZ</t>
  </si>
  <si>
    <t>RAFAEL MEDRANO</t>
  </si>
  <si>
    <t>REBECA GUILLÉN</t>
  </si>
  <si>
    <t>RICARDO CAICEDO</t>
  </si>
  <si>
    <t>RICARDO VILAPLANA</t>
  </si>
  <si>
    <t>ROCÍO MARTÍNEZ</t>
  </si>
  <si>
    <t>ROGER POSS</t>
  </si>
  <si>
    <t>SANDRA ARIAS</t>
  </si>
  <si>
    <t>SANDRA DOMENECH</t>
  </si>
  <si>
    <t>SANDRA HEREDIA</t>
  </si>
  <si>
    <t>SANDRA WIZNER</t>
  </si>
  <si>
    <t>SARA BERNABEU</t>
  </si>
  <si>
    <t>SARA CABEZA</t>
  </si>
  <si>
    <t>SARA MESA</t>
  </si>
  <si>
    <t>SARA SÁNCHEZ</t>
  </si>
  <si>
    <t>SARAY DOMENECH</t>
  </si>
  <si>
    <t>SILVIA IVORRA</t>
  </si>
  <si>
    <t>SILVIA SABATELL</t>
  </si>
  <si>
    <t>SOLEDAD GONZALEZ</t>
  </si>
  <si>
    <t>SOUKAINA DAIF</t>
  </si>
  <si>
    <t>STEFANIA ZAMORA</t>
  </si>
  <si>
    <t>TANIA MARTÍNEZ</t>
  </si>
  <si>
    <t>TANIA SÁEZ</t>
  </si>
  <si>
    <t>TERESA FERNANDEZ</t>
  </si>
  <si>
    <t>TERESA SCALA</t>
  </si>
  <si>
    <t>TIFFANY MENJIBAR</t>
  </si>
  <si>
    <t>VALERIA LESCANO</t>
  </si>
  <si>
    <t>VANESA ALEMANY</t>
  </si>
  <si>
    <t>VANESA GUAIMARE</t>
  </si>
  <si>
    <t>VANESA IVORRA</t>
  </si>
  <si>
    <t>VANESA SÁNCHEZ</t>
  </si>
  <si>
    <t>VERONICA GARRIGÓS</t>
  </si>
  <si>
    <t>VERONICA GÓMEZ</t>
  </si>
  <si>
    <t>VICENTE CAMPELLO</t>
  </si>
  <si>
    <t>VICTOR FERNÁNDEZ</t>
  </si>
  <si>
    <t>VÍCTOR GAUCHIA</t>
  </si>
  <si>
    <t>VICTORIA CARTAGENA</t>
  </si>
  <si>
    <t>YAIZA LAORDEN</t>
  </si>
  <si>
    <t>YESSICA CHACING</t>
  </si>
  <si>
    <t>YOLANDA CÁNOVAS</t>
  </si>
  <si>
    <t>YOLANDA ZAMORA</t>
  </si>
  <si>
    <t>ZAIRA MANGAS</t>
  </si>
  <si>
    <t>ZAIRA MONTERO</t>
  </si>
  <si>
    <t>Mª LUISA FLORES</t>
  </si>
  <si>
    <t>YESSICA CHACIN</t>
  </si>
  <si>
    <t>BLANCA MORA</t>
  </si>
  <si>
    <t>ANA Mº GUILLÉN</t>
  </si>
  <si>
    <t>EVA CRISTINA MOYA</t>
  </si>
  <si>
    <t>INMACULADA RUIZ</t>
  </si>
  <si>
    <t>JOSÉ MIGUEL MARTÍNEZ</t>
  </si>
  <si>
    <t>MARÍA RESINA</t>
  </si>
  <si>
    <t>FRANCISCO LÓPEZ</t>
  </si>
  <si>
    <t>VERÓNICA MONTERO</t>
  </si>
  <si>
    <t>VERÓNICA MUDARRA</t>
  </si>
  <si>
    <t>AINARA PORRAS</t>
  </si>
  <si>
    <t>JOSÉ MARCH</t>
  </si>
  <si>
    <t>VANESA LÓPEZ</t>
  </si>
  <si>
    <t>CELIA GARCÍA</t>
  </si>
  <si>
    <t>ERIKA TATIANA QUEMBA</t>
  </si>
  <si>
    <t>ISABEL FERRER</t>
  </si>
  <si>
    <t>PILAR VALLE</t>
  </si>
  <si>
    <t>SARA ISABEL AGRA</t>
  </si>
  <si>
    <t>NAIRA GARCÍA</t>
  </si>
  <si>
    <t>EDURNE MARTÍNEZ</t>
  </si>
  <si>
    <t>RAQUEL VILA</t>
  </si>
  <si>
    <t>MIRIAM CAMPAYO</t>
  </si>
  <si>
    <t>YAIZA TORIO</t>
  </si>
  <si>
    <t>SARAY ABELLÁN</t>
  </si>
  <si>
    <t>TRESA Bloque 2</t>
  </si>
  <si>
    <t>ABIGAIL GONZÁLEZ</t>
  </si>
  <si>
    <t>LOURDES PASTOR</t>
  </si>
  <si>
    <t>BELÉN GONZÁLEZ</t>
  </si>
  <si>
    <t>AINHOA ABELLÁN</t>
  </si>
  <si>
    <t>MIRIAM ALEMÁN</t>
  </si>
  <si>
    <t>LORENZO FERRÁNDIZ</t>
  </si>
  <si>
    <t>JULIANA PACHECO</t>
  </si>
  <si>
    <t>NEREA LEÓN</t>
  </si>
  <si>
    <t>NIEVES MIRA</t>
  </si>
  <si>
    <t>MARÍA ALBERTOS</t>
  </si>
  <si>
    <t>RAQUEL RUIZ</t>
  </si>
  <si>
    <t>FRANCISCA FERNÁNDEZ</t>
  </si>
  <si>
    <t>MANUEL ARÉVALO</t>
  </si>
  <si>
    <t>CAROLINA SÁNCHEZ</t>
  </si>
  <si>
    <t>DANIELA CONSTANZA</t>
  </si>
  <si>
    <t>ARANTXA MARTÍNEZ</t>
  </si>
  <si>
    <t>LEONARDO ARQUES</t>
  </si>
  <si>
    <t>BULK</t>
  </si>
  <si>
    <t>JENIFFER CAAMAÑO</t>
  </si>
  <si>
    <t>SABRINA RODRÍGUEZ</t>
  </si>
  <si>
    <t>CARMEN CASTILLO</t>
  </si>
  <si>
    <t>NORA SAVALL</t>
  </si>
  <si>
    <t>MÓNICA GALIANA</t>
  </si>
  <si>
    <t>LESLIE FERNÁNDEZ</t>
  </si>
  <si>
    <t>ZAHIRA ESCRIBANO</t>
  </si>
  <si>
    <t>LUZ DELGADO</t>
  </si>
  <si>
    <t>ADELA RODRÍGUEZ</t>
  </si>
  <si>
    <t>ALEJANDRA RODRÍGUEZ</t>
  </si>
  <si>
    <t>SORENY PAZ</t>
  </si>
  <si>
    <t>IRENE IBÁÑEZ</t>
  </si>
  <si>
    <t>SONIA VILLALBA</t>
  </si>
  <si>
    <t>DIEGO ELLES</t>
  </si>
  <si>
    <t>ÁNGEL RAMÍREZ</t>
  </si>
  <si>
    <t>IAN SALORT</t>
  </si>
  <si>
    <t>ANA RUÍZ</t>
  </si>
  <si>
    <t>DANIELA GÓMEZ</t>
  </si>
  <si>
    <t>BEGOÑA GODOY</t>
  </si>
  <si>
    <t>ANTONELLA NOCCIOLINO</t>
  </si>
  <si>
    <t>ADRIÁN  MOLINA</t>
  </si>
  <si>
    <t>BORJA SERRANO</t>
  </si>
  <si>
    <t>DIANA MOROCHO</t>
  </si>
  <si>
    <t>ANA Mª ORTUÑO PUCHE</t>
  </si>
  <si>
    <t>ALEXANDRA CORDÓN</t>
  </si>
  <si>
    <t>BEATRIZ GALIANA</t>
  </si>
  <si>
    <t>ELIZABETH MALDONADO</t>
  </si>
  <si>
    <t>CRISTINA DE LA HUERGA</t>
  </si>
  <si>
    <t>LORENA GOMIS</t>
  </si>
  <si>
    <t>MARINA PERTINI</t>
  </si>
  <si>
    <t>YOLANDA PASTOR</t>
  </si>
  <si>
    <t>SANDRA ANDRÉS</t>
  </si>
  <si>
    <t>CAROLINA BLANCO</t>
  </si>
  <si>
    <t>ANA JULIA CHOPERENA</t>
  </si>
  <si>
    <t>SARA HERNÁNDEZ</t>
  </si>
  <si>
    <t>CRISTIAN MOLINA</t>
  </si>
  <si>
    <t>ELEONORA MITTICA</t>
  </si>
  <si>
    <t>Mª FE ORTEGA</t>
  </si>
  <si>
    <t>LAURA ALCARAZ</t>
  </si>
  <si>
    <t>DIANA MARCELA</t>
  </si>
  <si>
    <t>Mª DEL MAR PACHO</t>
  </si>
  <si>
    <t>AITOR BORRÁS</t>
  </si>
  <si>
    <t>LUIS ENRIQUE CAICEDO</t>
  </si>
  <si>
    <t>NOELIA ESTEVE</t>
  </si>
  <si>
    <t>NEREIDA SÁNCHEZ</t>
  </si>
  <si>
    <t>JONATHAN FABIÁN SÁNCHEZ</t>
  </si>
  <si>
    <t>RAÚL AVILÉS</t>
  </si>
  <si>
    <t>EDUARDO PAREDES</t>
  </si>
  <si>
    <t>TRESA Bloque 3</t>
  </si>
  <si>
    <t>Mª DOLORES MORENO</t>
  </si>
  <si>
    <t>MARCOS AVILEZ</t>
  </si>
  <si>
    <t>SOFIA MÉNDEZ</t>
  </si>
  <si>
    <t>VERÓNICA AMORÓS</t>
  </si>
  <si>
    <t>ANDREA ROSERO</t>
  </si>
  <si>
    <t>LUISA VASQUEZ</t>
  </si>
  <si>
    <t>Mª DEL CARMEN RODRÍGUEZ</t>
  </si>
  <si>
    <t>MIGUEL ÁNGEL CUARTAS</t>
  </si>
  <si>
    <t>ANA BELÉN MUÑOZ</t>
  </si>
  <si>
    <t>ALEIX TYSZKO</t>
  </si>
  <si>
    <t>ALFONSO LÓPEZ</t>
  </si>
  <si>
    <t>ANA Mª CARRASCO</t>
  </si>
  <si>
    <t>DIANA VALERO</t>
  </si>
  <si>
    <t>ELENA LISTE</t>
  </si>
  <si>
    <t>ESTELA ADROVER</t>
  </si>
  <si>
    <t>KEVIN MITCHEL</t>
  </si>
  <si>
    <t>LUIS FERNANDO MORALES</t>
  </si>
  <si>
    <t>ZORAIDA MARTÍNEZ</t>
  </si>
  <si>
    <t>JOSE MIGUEL MARTÍN</t>
  </si>
  <si>
    <t>Mª FERNANDA MACIAS</t>
  </si>
  <si>
    <t>TRESA Bloque 1</t>
  </si>
  <si>
    <t>RPM-IRS1 Identificación e Inicialización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</si>
</sst>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indexed="8"/>
      <name val="Arial"/>
      <family val="2"/>
    </font>
    <font>
      <sz val="9"/>
      <color theme="1"/>
      <name val="Calibri"/>
      <family val="2"/>
      <scheme val="minor"/>
    </font>
    <font>
      <b/>
      <u/>
      <sz val="10"/>
      <color indexed="8"/>
      <name val="Arial"/>
      <family val="2"/>
    </font>
    <font>
      <b/>
      <sz val="10"/>
      <name val="Arial"/>
      <family val="2"/>
    </font>
    <font>
      <b/>
      <sz val="8"/>
      <color theme="1"/>
      <name val="Calibri"/>
      <family val="2"/>
      <scheme val="minor"/>
    </font>
    <font>
      <b/>
      <sz val="18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1" fillId="0" borderId="0" xfId="1"/>
    <xf numFmtId="0" fontId="3" fillId="2" borderId="1" xfId="0" applyFont="1" applyFill="1" applyBorder="1"/>
    <xf numFmtId="0" fontId="3" fillId="0" borderId="1" xfId="0" applyFont="1" applyBorder="1" applyAlignment="1">
      <alignment horizontal="center"/>
    </xf>
    <xf numFmtId="0" fontId="4" fillId="0" borderId="0" xfId="1" applyFont="1"/>
    <xf numFmtId="0" fontId="5" fillId="0" borderId="0" xfId="0" applyFont="1"/>
    <xf numFmtId="0" fontId="5" fillId="3" borderId="0" xfId="0" applyFont="1" applyFill="1"/>
    <xf numFmtId="0" fontId="5" fillId="4" borderId="0" xfId="0" applyFont="1" applyFill="1"/>
    <xf numFmtId="0" fontId="3" fillId="5" borderId="1" xfId="0" applyFont="1" applyFill="1" applyBorder="1"/>
    <xf numFmtId="0" fontId="5" fillId="6" borderId="0" xfId="0" applyFont="1" applyFill="1"/>
    <xf numFmtId="0" fontId="6" fillId="0" borderId="0" xfId="1" applyFont="1" applyAlignment="1">
      <alignment horizontal="left" vertical="center"/>
    </xf>
    <xf numFmtId="0" fontId="3" fillId="7" borderId="1" xfId="0" applyFont="1" applyFill="1" applyBorder="1"/>
    <xf numFmtId="0" fontId="3" fillId="8" borderId="1" xfId="0" applyFont="1" applyFill="1" applyBorder="1"/>
    <xf numFmtId="0" fontId="5" fillId="9" borderId="0" xfId="0" applyFont="1" applyFill="1"/>
    <xf numFmtId="14" fontId="7" fillId="0" borderId="0" xfId="1" applyNumberFormat="1" applyFont="1"/>
    <xf numFmtId="0" fontId="7" fillId="0" borderId="0" xfId="1" applyFont="1"/>
    <xf numFmtId="0" fontId="3" fillId="10" borderId="1" xfId="0" applyFont="1" applyFill="1" applyBorder="1"/>
    <xf numFmtId="0" fontId="3" fillId="11" borderId="1" xfId="0" applyFont="1" applyFill="1" applyBorder="1"/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/>
    <xf numFmtId="0" fontId="3" fillId="0" borderId="3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textRotation="90" wrapText="1"/>
    </xf>
    <xf numFmtId="0" fontId="3" fillId="9" borderId="1" xfId="0" applyFont="1" applyFill="1" applyBorder="1"/>
    <xf numFmtId="0" fontId="3" fillId="9" borderId="3" xfId="0" applyFont="1" applyFill="1" applyBorder="1"/>
    <xf numFmtId="0" fontId="3" fillId="9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/>
    <xf numFmtId="0" fontId="3" fillId="0" borderId="1" xfId="0" applyFont="1" applyBorder="1"/>
    <xf numFmtId="0" fontId="1" fillId="0" borderId="1" xfId="1" applyBorder="1"/>
    <xf numFmtId="0" fontId="5" fillId="0" borderId="1" xfId="0" applyFont="1" applyBorder="1"/>
    <xf numFmtId="0" fontId="3" fillId="0" borderId="1" xfId="0" applyFont="1" applyBorder="1" applyAlignment="1">
      <alignment wrapText="1"/>
    </xf>
    <xf numFmtId="0" fontId="5" fillId="0" borderId="3" xfId="0" applyFont="1" applyBorder="1"/>
    <xf numFmtId="0" fontId="6" fillId="0" borderId="1" xfId="1" applyFont="1" applyBorder="1" applyAlignment="1">
      <alignment horizontal="left" vertical="center"/>
    </xf>
    <xf numFmtId="0" fontId="3" fillId="13" borderId="1" xfId="0" applyFont="1" applyFill="1" applyBorder="1" applyAlignment="1">
      <alignment horizontal="left"/>
    </xf>
    <xf numFmtId="0" fontId="9" fillId="12" borderId="0" xfId="0" applyFont="1" applyFill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1" fillId="0" borderId="0" xfId="1" applyAlignment="1">
      <alignment horizontal="left"/>
    </xf>
  </cellXfs>
  <cellStyles count="2">
    <cellStyle name="Normal" xfId="0" builtinId="0"/>
    <cellStyle name="Normal 2" xfId="1" xr:uid="{F60A756D-957D-46C7-A6D7-F7A802C907D0}"/>
  </cellStyles>
  <dxfs count="16"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il, Ana" id="{E963D1F3-B991-41B0-85A6-22D279958FF5}" userId="S::Ana.Gil@sonova.com::dc034bc6-7ba5-45cd-9a17-b8903ef972b0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81" dT="2020-07-03T11:00:49.40" personId="{E963D1F3-B991-41B0-85A6-22D279958FF5}" id="{E2BE93AB-8F1F-4D9D-A2C4-77AEEC7A23E6}">
    <text>Sólo retros, alergia lacas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C57" dT="2021-01-26T13:49:34.47" personId="{E963D1F3-B991-41B0-85A6-22D279958FF5}" id="{C3722FC4-6782-403E-B4FC-1DA5E103C4F4}">
    <text>NO ACTA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A31" dT="2021-01-26T13:49:34.47" personId="{E963D1F3-B991-41B0-85A6-22D279958FF5}" id="{C9AC2084-D459-4C1F-B2E7-E74EA9FFE0C8}">
    <text>NO ACTA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400E4-2618-44A4-A4D9-2A9EA664647A}">
  <dimension ref="A1:GC138"/>
  <sheetViews>
    <sheetView workbookViewId="0">
      <selection activeCell="J6" sqref="J6"/>
    </sheetView>
  </sheetViews>
  <sheetFormatPr defaultColWidth="31.54296875" defaultRowHeight="12.5" x14ac:dyDescent="0.25"/>
  <cols>
    <col min="1" max="1" width="21" style="1" bestFit="1" customWidth="1"/>
    <col min="2" max="21" width="3" style="1" customWidth="1"/>
    <col min="22" max="22" width="3" style="4" customWidth="1"/>
    <col min="23" max="29" width="3" style="1" customWidth="1"/>
    <col min="30" max="16384" width="31.54296875" style="1"/>
  </cols>
  <sheetData>
    <row r="1" spans="1:183" ht="154" thickBot="1" x14ac:dyDescent="0.35">
      <c r="A1" s="18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  <c r="AE1" s="14" t="s">
        <v>29</v>
      </c>
      <c r="AF1" s="15" t="s">
        <v>30</v>
      </c>
    </row>
    <row r="2" spans="1:183" ht="13" x14ac:dyDescent="0.3">
      <c r="A2" s="19" t="s">
        <v>31</v>
      </c>
      <c r="B2" s="20"/>
      <c r="C2" s="3"/>
      <c r="D2" s="3">
        <v>0</v>
      </c>
      <c r="E2" s="3"/>
      <c r="F2" s="3"/>
      <c r="G2" s="3">
        <v>0</v>
      </c>
      <c r="H2" s="3"/>
      <c r="I2" s="3"/>
      <c r="J2" s="3"/>
      <c r="K2" s="3">
        <v>3</v>
      </c>
      <c r="L2" s="3">
        <v>3</v>
      </c>
      <c r="M2" s="3"/>
      <c r="N2" s="3"/>
      <c r="O2" s="3"/>
      <c r="P2" s="3">
        <v>1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10" t="s">
        <v>32</v>
      </c>
    </row>
    <row r="3" spans="1:183" ht="13" x14ac:dyDescent="0.3">
      <c r="A3" s="2" t="s">
        <v>33</v>
      </c>
      <c r="B3" s="3"/>
      <c r="C3" s="3"/>
      <c r="D3" s="3">
        <v>3</v>
      </c>
      <c r="E3" s="3"/>
      <c r="F3" s="3"/>
      <c r="G3" s="3">
        <v>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>
        <v>2</v>
      </c>
      <c r="T3" s="3"/>
      <c r="U3" s="3"/>
      <c r="V3" s="3"/>
      <c r="W3" s="3"/>
      <c r="X3" s="3"/>
      <c r="Y3" s="3"/>
      <c r="Z3" s="3"/>
      <c r="AA3" s="3"/>
      <c r="AB3" s="3"/>
      <c r="AC3" s="3"/>
      <c r="AD3" s="5"/>
    </row>
    <row r="4" spans="1:183" ht="13" x14ac:dyDescent="0.3">
      <c r="A4" s="2" t="s">
        <v>34</v>
      </c>
      <c r="B4" s="3">
        <v>3</v>
      </c>
      <c r="C4" s="3"/>
      <c r="D4" s="3"/>
      <c r="E4" s="3"/>
      <c r="F4" s="3"/>
      <c r="G4" s="3"/>
      <c r="H4" s="3"/>
      <c r="I4" s="3"/>
      <c r="J4" s="3"/>
      <c r="K4" s="3">
        <v>1</v>
      </c>
      <c r="L4" s="3"/>
      <c r="M4" s="3"/>
      <c r="N4" s="3"/>
      <c r="O4" s="3"/>
      <c r="P4" s="3">
        <v>2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6" t="s">
        <v>35</v>
      </c>
      <c r="AE4" s="1" t="s">
        <v>36</v>
      </c>
    </row>
    <row r="5" spans="1:183" ht="13" x14ac:dyDescent="0.3">
      <c r="A5" s="8" t="s">
        <v>37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>
        <v>3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5"/>
    </row>
    <row r="6" spans="1:183" ht="13" x14ac:dyDescent="0.3">
      <c r="A6" s="2" t="s">
        <v>38</v>
      </c>
      <c r="B6" s="3"/>
      <c r="C6" s="3"/>
      <c r="D6" s="3">
        <v>3</v>
      </c>
      <c r="E6" s="3"/>
      <c r="F6" s="3"/>
      <c r="G6" s="3">
        <v>3</v>
      </c>
      <c r="H6" s="3"/>
      <c r="I6" s="3"/>
      <c r="J6" s="3"/>
      <c r="K6" s="3"/>
      <c r="L6" s="3">
        <v>1</v>
      </c>
      <c r="M6" s="3"/>
      <c r="N6" s="3"/>
      <c r="O6" s="3"/>
      <c r="P6" s="3"/>
      <c r="Q6" s="3"/>
      <c r="R6" s="3"/>
      <c r="S6" s="3">
        <v>2</v>
      </c>
      <c r="T6" s="3"/>
      <c r="U6" s="3"/>
      <c r="V6" s="3"/>
      <c r="W6" s="3"/>
      <c r="X6" s="3"/>
      <c r="Y6" s="3"/>
      <c r="Z6" s="3"/>
      <c r="AA6" s="3"/>
      <c r="AB6" s="3"/>
      <c r="AC6" s="3"/>
      <c r="AD6" s="7" t="s">
        <v>35</v>
      </c>
      <c r="AE6" s="1" t="s">
        <v>39</v>
      </c>
    </row>
    <row r="7" spans="1:183" ht="13" x14ac:dyDescent="0.3">
      <c r="A7" s="8" t="s">
        <v>40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3</v>
      </c>
      <c r="P7" s="3"/>
      <c r="Q7" s="3">
        <v>4</v>
      </c>
      <c r="R7" s="3">
        <v>4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5"/>
    </row>
    <row r="8" spans="1:183" ht="13" x14ac:dyDescent="0.3">
      <c r="A8" s="8" t="s">
        <v>41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>
        <v>2</v>
      </c>
      <c r="R8" s="3">
        <v>1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9" t="s">
        <v>42</v>
      </c>
      <c r="AE8" s="1" t="s">
        <v>43</v>
      </c>
    </row>
    <row r="9" spans="1:183" ht="13" x14ac:dyDescent="0.3">
      <c r="A9" s="2" t="s">
        <v>44</v>
      </c>
      <c r="B9" s="3"/>
      <c r="C9" s="3"/>
      <c r="D9" s="3">
        <v>3</v>
      </c>
      <c r="E9" s="3"/>
      <c r="F9" s="3"/>
      <c r="G9" s="3">
        <v>3</v>
      </c>
      <c r="H9" s="3"/>
      <c r="I9" s="3"/>
      <c r="J9" s="3"/>
      <c r="K9" s="3"/>
      <c r="L9" s="3">
        <v>1</v>
      </c>
      <c r="M9" s="3"/>
      <c r="N9" s="3"/>
      <c r="O9" s="3"/>
      <c r="P9" s="3"/>
      <c r="Q9" s="3"/>
      <c r="R9" s="3"/>
      <c r="S9" s="3">
        <v>2</v>
      </c>
      <c r="T9" s="3"/>
      <c r="U9" s="3"/>
      <c r="V9" s="3"/>
      <c r="W9" s="3"/>
      <c r="X9" s="3"/>
      <c r="Y9" s="3"/>
      <c r="Z9" s="3"/>
      <c r="AA9" s="3"/>
      <c r="AB9" s="3"/>
      <c r="AC9" s="3"/>
      <c r="AD9" s="5"/>
    </row>
    <row r="10" spans="1:183" ht="13" x14ac:dyDescent="0.3">
      <c r="A10" s="2" t="s">
        <v>45</v>
      </c>
      <c r="B10" s="3">
        <v>2</v>
      </c>
      <c r="C10" s="3">
        <v>3</v>
      </c>
      <c r="D10" s="3"/>
      <c r="E10" s="3"/>
      <c r="F10" s="3"/>
      <c r="G10" s="3"/>
      <c r="H10" s="3"/>
      <c r="I10" s="3"/>
      <c r="J10" s="3"/>
      <c r="K10" s="3">
        <v>1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13" t="s">
        <v>46</v>
      </c>
      <c r="AE10" s="1" t="s">
        <v>47</v>
      </c>
    </row>
    <row r="11" spans="1:183" ht="13" x14ac:dyDescent="0.3">
      <c r="A11" s="16" t="s">
        <v>48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>
        <v>3</v>
      </c>
      <c r="X11" s="3">
        <v>3</v>
      </c>
      <c r="Y11" s="3"/>
      <c r="Z11" s="3">
        <v>3</v>
      </c>
      <c r="AA11" s="3">
        <v>3</v>
      </c>
      <c r="AB11" s="3">
        <v>3</v>
      </c>
      <c r="AC11" s="3">
        <v>3</v>
      </c>
    </row>
    <row r="12" spans="1:183" s="4" customFormat="1" ht="13" x14ac:dyDescent="0.3">
      <c r="A12" s="2" t="s">
        <v>49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>
        <v>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</row>
    <row r="13" spans="1:183" s="4" customFormat="1" ht="13" x14ac:dyDescent="0.3">
      <c r="A13" s="2" t="s">
        <v>50</v>
      </c>
      <c r="B13" s="3">
        <v>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>
        <v>2</v>
      </c>
      <c r="R13" s="3">
        <v>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</row>
    <row r="14" spans="1:183" s="4" customFormat="1" ht="13" x14ac:dyDescent="0.3">
      <c r="A14" s="2" t="s">
        <v>51</v>
      </c>
      <c r="B14" s="3">
        <v>3</v>
      </c>
      <c r="C14" s="3"/>
      <c r="D14" s="3"/>
      <c r="E14" s="3"/>
      <c r="F14" s="3"/>
      <c r="G14" s="3">
        <v>2</v>
      </c>
      <c r="H14" s="3"/>
      <c r="I14" s="3"/>
      <c r="J14" s="3"/>
      <c r="K14" s="3"/>
      <c r="L14" s="3"/>
      <c r="M14" s="3">
        <v>2</v>
      </c>
      <c r="N14" s="3">
        <v>2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</row>
    <row r="15" spans="1:183" s="4" customFormat="1" ht="13" x14ac:dyDescent="0.3">
      <c r="A15" s="8" t="s">
        <v>52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v>2</v>
      </c>
      <c r="Q15" s="3">
        <v>1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</row>
    <row r="16" spans="1:183" s="4" customFormat="1" ht="13" x14ac:dyDescent="0.3">
      <c r="A16" s="2" t="s">
        <v>53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>
        <v>2</v>
      </c>
      <c r="R16" s="3">
        <v>2</v>
      </c>
      <c r="S16" s="3">
        <v>2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</row>
    <row r="17" spans="1:185" s="4" customFormat="1" ht="13" x14ac:dyDescent="0.3">
      <c r="A17" s="8" t="s">
        <v>54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>
        <v>2</v>
      </c>
      <c r="N17" s="3">
        <v>3</v>
      </c>
      <c r="O17" s="3"/>
      <c r="P17" s="3">
        <v>3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</row>
    <row r="18" spans="1:185" s="4" customFormat="1" ht="13" x14ac:dyDescent="0.3">
      <c r="A18" s="8" t="s">
        <v>55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v>2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</row>
    <row r="19" spans="1:185" s="4" customFormat="1" ht="13" x14ac:dyDescent="0.3">
      <c r="A19" s="8" t="s">
        <v>56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>
        <v>2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</row>
    <row r="20" spans="1:185" s="4" customFormat="1" ht="13" x14ac:dyDescent="0.3">
      <c r="A20" s="2" t="s">
        <v>57</v>
      </c>
      <c r="B20" s="3"/>
      <c r="C20" s="3"/>
      <c r="D20" s="3"/>
      <c r="E20" s="3"/>
      <c r="F20" s="3"/>
      <c r="G20" s="3">
        <v>2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</row>
    <row r="21" spans="1:185" s="4" customFormat="1" ht="13" x14ac:dyDescent="0.3">
      <c r="A21" s="2" t="s">
        <v>58</v>
      </c>
      <c r="B21" s="3"/>
      <c r="C21" s="3"/>
      <c r="D21" s="3"/>
      <c r="E21" s="3"/>
      <c r="F21" s="3"/>
      <c r="G21" s="3"/>
      <c r="H21" s="3"/>
      <c r="I21" s="3"/>
      <c r="J21" s="3"/>
      <c r="K21" s="3">
        <v>3</v>
      </c>
      <c r="L21" s="3">
        <v>3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</row>
    <row r="22" spans="1:185" s="4" customFormat="1" ht="13" x14ac:dyDescent="0.3">
      <c r="A22" s="2" t="s">
        <v>59</v>
      </c>
      <c r="B22" s="3">
        <v>2</v>
      </c>
      <c r="C22" s="3">
        <v>2</v>
      </c>
      <c r="D22" s="3"/>
      <c r="E22" s="3"/>
      <c r="F22" s="3"/>
      <c r="G22" s="3"/>
      <c r="H22" s="3"/>
      <c r="I22" s="3"/>
      <c r="J22" s="3"/>
      <c r="K22" s="3">
        <v>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</row>
    <row r="23" spans="1:185" s="4" customFormat="1" ht="13" x14ac:dyDescent="0.3">
      <c r="A23" s="2" t="s">
        <v>60</v>
      </c>
      <c r="B23" s="3">
        <v>2</v>
      </c>
      <c r="C23" s="3"/>
      <c r="D23" s="3"/>
      <c r="E23" s="3"/>
      <c r="F23" s="3"/>
      <c r="G23" s="3"/>
      <c r="H23" s="3"/>
      <c r="I23" s="3"/>
      <c r="J23" s="3"/>
      <c r="K23" s="3">
        <v>2</v>
      </c>
      <c r="L23" s="3">
        <v>2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</row>
    <row r="24" spans="1:185" s="4" customFormat="1" ht="13" x14ac:dyDescent="0.3">
      <c r="A24" s="8" t="s">
        <v>61</v>
      </c>
      <c r="B24" s="3"/>
      <c r="C24" s="3"/>
      <c r="D24" s="3"/>
      <c r="E24" s="3"/>
      <c r="F24" s="3"/>
      <c r="G24" s="3"/>
      <c r="H24" s="3"/>
      <c r="I24" s="3">
        <v>2</v>
      </c>
      <c r="J24" s="3">
        <v>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</row>
    <row r="25" spans="1:185" s="4" customFormat="1" ht="13" x14ac:dyDescent="0.3">
      <c r="A25" s="2" t="s">
        <v>62</v>
      </c>
      <c r="B25" s="3">
        <v>2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>
        <v>3</v>
      </c>
      <c r="R25" s="3">
        <v>3</v>
      </c>
      <c r="S25" s="3">
        <v>2</v>
      </c>
      <c r="T25" s="3">
        <v>2</v>
      </c>
      <c r="U25" s="3"/>
      <c r="V25" s="3"/>
      <c r="W25" s="3"/>
      <c r="X25" s="3"/>
      <c r="Y25" s="3"/>
      <c r="Z25" s="3"/>
      <c r="AA25" s="3"/>
      <c r="AB25" s="3"/>
      <c r="AC25" s="3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</row>
    <row r="26" spans="1:185" s="4" customFormat="1" ht="13" x14ac:dyDescent="0.3">
      <c r="A26" s="2" t="s">
        <v>63</v>
      </c>
      <c r="B26" s="3"/>
      <c r="C26" s="3">
        <v>4</v>
      </c>
      <c r="D26" s="3"/>
      <c r="E26" s="3"/>
      <c r="F26" s="3"/>
      <c r="G26" s="3"/>
      <c r="H26" s="3">
        <v>4</v>
      </c>
      <c r="I26" s="3"/>
      <c r="J26" s="3">
        <v>3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</row>
    <row r="27" spans="1:185" s="4" customFormat="1" ht="13" x14ac:dyDescent="0.3">
      <c r="A27" s="2" t="s">
        <v>64</v>
      </c>
      <c r="B27" s="3">
        <v>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>
        <v>2</v>
      </c>
      <c r="R27" s="3">
        <v>2</v>
      </c>
      <c r="S27" s="3">
        <v>2</v>
      </c>
      <c r="T27" s="3">
        <v>2</v>
      </c>
      <c r="U27" s="3"/>
      <c r="V27" s="3"/>
      <c r="W27" s="3"/>
      <c r="X27" s="3"/>
      <c r="Y27" s="3"/>
      <c r="Z27" s="3"/>
      <c r="AA27" s="3"/>
      <c r="AB27" s="3"/>
      <c r="AC27" s="3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</row>
    <row r="28" spans="1:185" ht="13" x14ac:dyDescent="0.3">
      <c r="A28" s="12" t="s">
        <v>65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>
        <v>2</v>
      </c>
      <c r="V28" s="3"/>
      <c r="W28" s="3"/>
      <c r="X28" s="3"/>
      <c r="Y28" s="3"/>
      <c r="Z28" s="3"/>
      <c r="AA28" s="3"/>
      <c r="AB28" s="3"/>
      <c r="AC28" s="3"/>
    </row>
    <row r="29" spans="1:185" ht="13" x14ac:dyDescent="0.3">
      <c r="A29" s="8" t="s">
        <v>66</v>
      </c>
      <c r="B29" s="3"/>
      <c r="C29" s="3"/>
      <c r="D29" s="3"/>
      <c r="E29" s="3"/>
      <c r="F29" s="3"/>
      <c r="G29" s="3"/>
      <c r="H29" s="3"/>
      <c r="I29" s="3"/>
      <c r="J29" s="3">
        <v>2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185" ht="13" x14ac:dyDescent="0.3">
      <c r="A30" s="2" t="s">
        <v>67</v>
      </c>
      <c r="B30" s="3"/>
      <c r="C30" s="3">
        <v>2</v>
      </c>
      <c r="D30" s="3">
        <v>1</v>
      </c>
      <c r="E30" s="3"/>
      <c r="F30" s="3"/>
      <c r="G30" s="3">
        <v>1</v>
      </c>
      <c r="H30" s="3"/>
      <c r="I30" s="3"/>
      <c r="J30" s="3"/>
      <c r="K30" s="3">
        <v>1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185" ht="13" x14ac:dyDescent="0.3">
      <c r="A31" s="2" t="s">
        <v>68</v>
      </c>
      <c r="B31" s="3"/>
      <c r="C31" s="3">
        <v>3</v>
      </c>
      <c r="D31" s="3">
        <v>1</v>
      </c>
      <c r="E31" s="3"/>
      <c r="F31" s="3"/>
      <c r="G31" s="3">
        <v>2</v>
      </c>
      <c r="H31" s="3">
        <v>3</v>
      </c>
      <c r="I31" s="3"/>
      <c r="J31" s="3"/>
      <c r="K31" s="3"/>
      <c r="L31" s="3"/>
      <c r="M31" s="3"/>
      <c r="N31" s="3">
        <v>2</v>
      </c>
      <c r="O31" s="3"/>
      <c r="P31" s="3">
        <v>2</v>
      </c>
      <c r="Q31" s="3">
        <v>2</v>
      </c>
      <c r="R31" s="3">
        <v>2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185" ht="13" x14ac:dyDescent="0.3">
      <c r="A32" s="2" t="s">
        <v>69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v>2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3" x14ac:dyDescent="0.3">
      <c r="A33" s="2" t="s">
        <v>70</v>
      </c>
      <c r="B33" s="3">
        <v>3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>
        <v>2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3" x14ac:dyDescent="0.3">
      <c r="A34" s="8" t="s">
        <v>71</v>
      </c>
      <c r="B34" s="3"/>
      <c r="C34" s="3"/>
      <c r="D34" s="3"/>
      <c r="E34" s="3"/>
      <c r="F34" s="3"/>
      <c r="G34" s="3"/>
      <c r="H34" s="3"/>
      <c r="I34" s="3"/>
      <c r="J34" s="3">
        <v>1</v>
      </c>
      <c r="K34" s="3"/>
      <c r="L34" s="3"/>
      <c r="M34" s="3"/>
      <c r="N34" s="3"/>
      <c r="O34" s="3">
        <v>3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3" x14ac:dyDescent="0.3">
      <c r="A35" s="2" t="s">
        <v>72</v>
      </c>
      <c r="B35" s="3"/>
      <c r="C35" s="3"/>
      <c r="D35" s="3">
        <v>2</v>
      </c>
      <c r="E35" s="3"/>
      <c r="F35" s="3"/>
      <c r="G35" s="3">
        <v>2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3" x14ac:dyDescent="0.3">
      <c r="A36" s="2" t="s">
        <v>73</v>
      </c>
      <c r="B36" s="3">
        <v>2</v>
      </c>
      <c r="C36" s="3"/>
      <c r="D36" s="3"/>
      <c r="E36" s="3"/>
      <c r="F36" s="3"/>
      <c r="G36" s="3"/>
      <c r="H36" s="3"/>
      <c r="I36" s="3"/>
      <c r="J36" s="3"/>
      <c r="K36" s="3">
        <v>1</v>
      </c>
      <c r="L36" s="3"/>
      <c r="M36" s="3"/>
      <c r="N36" s="3"/>
      <c r="O36" s="3"/>
      <c r="P36" s="3">
        <v>2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3" x14ac:dyDescent="0.3">
      <c r="A37" s="11" t="s">
        <v>74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>
        <v>2</v>
      </c>
      <c r="U37" s="3"/>
      <c r="V37" s="3"/>
      <c r="W37" s="3"/>
      <c r="X37" s="3"/>
      <c r="Y37" s="3"/>
      <c r="Z37" s="3"/>
      <c r="AA37" s="3"/>
      <c r="AB37" s="3"/>
      <c r="AC37" s="3"/>
    </row>
    <row r="38" spans="1:29" ht="13" x14ac:dyDescent="0.3">
      <c r="A38" s="8" t="s">
        <v>75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>
        <v>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3" x14ac:dyDescent="0.3">
      <c r="A39" s="2" t="s">
        <v>76</v>
      </c>
      <c r="B39" s="3"/>
      <c r="C39" s="3"/>
      <c r="D39" s="3"/>
      <c r="E39" s="3"/>
      <c r="F39" s="3"/>
      <c r="G39" s="3">
        <v>2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3" x14ac:dyDescent="0.3">
      <c r="A40" s="2" t="s">
        <v>77</v>
      </c>
      <c r="B40" s="3"/>
      <c r="C40" s="3">
        <v>4</v>
      </c>
      <c r="D40" s="3"/>
      <c r="E40" s="3"/>
      <c r="F40" s="3"/>
      <c r="G40" s="3">
        <v>1</v>
      </c>
      <c r="H40" s="3">
        <v>4</v>
      </c>
      <c r="I40" s="3"/>
      <c r="J40" s="3">
        <v>3</v>
      </c>
      <c r="K40" s="3"/>
      <c r="L40" s="3"/>
      <c r="M40" s="3"/>
      <c r="N40" s="3">
        <v>1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3" x14ac:dyDescent="0.3">
      <c r="A41" s="2" t="s">
        <v>78</v>
      </c>
      <c r="B41" s="3">
        <v>3</v>
      </c>
      <c r="C41" s="3"/>
      <c r="D41" s="3"/>
      <c r="E41" s="3"/>
      <c r="F41" s="3"/>
      <c r="G41" s="3">
        <v>1</v>
      </c>
      <c r="H41" s="3"/>
      <c r="I41" s="3"/>
      <c r="J41" s="3"/>
      <c r="K41" s="3"/>
      <c r="L41" s="3"/>
      <c r="M41" s="3"/>
      <c r="N41" s="3"/>
      <c r="O41" s="3"/>
      <c r="P41" s="3"/>
      <c r="Q41" s="3">
        <v>2</v>
      </c>
      <c r="R41" s="3">
        <v>2</v>
      </c>
      <c r="S41" s="3">
        <v>2</v>
      </c>
      <c r="T41" s="3">
        <v>2</v>
      </c>
      <c r="U41" s="3"/>
      <c r="V41" s="3"/>
      <c r="W41" s="3"/>
      <c r="X41" s="3"/>
      <c r="Y41" s="3"/>
      <c r="Z41" s="3"/>
      <c r="AA41" s="3"/>
      <c r="AB41" s="3"/>
      <c r="AC41" s="3"/>
    </row>
    <row r="42" spans="1:29" ht="13" x14ac:dyDescent="0.3">
      <c r="A42" s="2" t="s">
        <v>79</v>
      </c>
      <c r="B42" s="3">
        <v>2</v>
      </c>
      <c r="C42" s="3"/>
      <c r="D42" s="3">
        <v>3</v>
      </c>
      <c r="E42" s="3"/>
      <c r="F42" s="3"/>
      <c r="G42" s="3">
        <v>3</v>
      </c>
      <c r="H42" s="3"/>
      <c r="I42" s="3"/>
      <c r="J42" s="3"/>
      <c r="K42" s="3"/>
      <c r="L42" s="3"/>
      <c r="M42" s="3"/>
      <c r="N42" s="3">
        <v>1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3" x14ac:dyDescent="0.3">
      <c r="A43" s="2" t="s">
        <v>80</v>
      </c>
      <c r="B43" s="3"/>
      <c r="C43" s="3"/>
      <c r="D43" s="3">
        <v>2</v>
      </c>
      <c r="E43" s="3"/>
      <c r="F43" s="3"/>
      <c r="G43" s="3">
        <v>2</v>
      </c>
      <c r="H43" s="3"/>
      <c r="I43" s="3"/>
      <c r="J43" s="3"/>
      <c r="K43" s="3">
        <v>3</v>
      </c>
      <c r="L43" s="3">
        <v>3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3" x14ac:dyDescent="0.3">
      <c r="A44" s="8" t="s">
        <v>81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>
        <v>1</v>
      </c>
      <c r="O44" s="3"/>
      <c r="P44" s="3">
        <v>3</v>
      </c>
      <c r="Q44" s="3">
        <v>3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3" x14ac:dyDescent="0.3">
      <c r="A45" s="8" t="s">
        <v>82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>
        <v>1</v>
      </c>
      <c r="O45" s="3">
        <v>3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3" x14ac:dyDescent="0.3">
      <c r="A46" s="2" t="s">
        <v>83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>
        <v>2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3" x14ac:dyDescent="0.3">
      <c r="A47" s="2" t="s">
        <v>84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>
        <v>2</v>
      </c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3" x14ac:dyDescent="0.3">
      <c r="A48" s="12" t="s">
        <v>85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>
        <v>2</v>
      </c>
      <c r="V48" s="3"/>
      <c r="W48" s="3"/>
      <c r="X48" s="3"/>
      <c r="Y48" s="3"/>
      <c r="Z48" s="3"/>
      <c r="AA48" s="3"/>
      <c r="AB48" s="3"/>
      <c r="AC48" s="3"/>
    </row>
    <row r="49" spans="1:29" ht="13" x14ac:dyDescent="0.3">
      <c r="A49" s="8" t="s">
        <v>86</v>
      </c>
      <c r="B49" s="3"/>
      <c r="C49" s="3"/>
      <c r="D49" s="3"/>
      <c r="E49" s="3"/>
      <c r="F49" s="3"/>
      <c r="G49" s="3"/>
      <c r="H49" s="3"/>
      <c r="I49" s="3"/>
      <c r="J49" s="3">
        <v>2</v>
      </c>
      <c r="K49" s="3"/>
      <c r="L49" s="3"/>
      <c r="M49" s="3"/>
      <c r="N49" s="3"/>
      <c r="O49" s="3"/>
      <c r="P49" s="3"/>
      <c r="Q49" s="3">
        <v>3</v>
      </c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3" x14ac:dyDescent="0.3">
      <c r="A50" s="2" t="s">
        <v>87</v>
      </c>
      <c r="B50" s="3">
        <v>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>
        <v>2</v>
      </c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3" x14ac:dyDescent="0.3">
      <c r="A51" s="2" t="s">
        <v>88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>
        <v>3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3" x14ac:dyDescent="0.3">
      <c r="A52" s="2" t="s">
        <v>89</v>
      </c>
      <c r="B52" s="3"/>
      <c r="C52" s="3">
        <v>1</v>
      </c>
      <c r="D52" s="3"/>
      <c r="E52" s="3"/>
      <c r="F52" s="3"/>
      <c r="G52" s="3"/>
      <c r="H52" s="3">
        <v>1</v>
      </c>
      <c r="I52" s="3"/>
      <c r="J52" s="3">
        <v>3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3" x14ac:dyDescent="0.3">
      <c r="A53" s="2" t="s">
        <v>90</v>
      </c>
      <c r="B53" s="3">
        <v>1</v>
      </c>
      <c r="C53" s="3"/>
      <c r="D53" s="3"/>
      <c r="E53" s="3"/>
      <c r="F53" s="3"/>
      <c r="G53" s="3">
        <v>2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3" x14ac:dyDescent="0.3">
      <c r="A54" s="8" t="s">
        <v>91</v>
      </c>
      <c r="B54" s="3"/>
      <c r="C54" s="3"/>
      <c r="D54" s="3"/>
      <c r="E54" s="3"/>
      <c r="F54" s="3"/>
      <c r="G54" s="3"/>
      <c r="H54" s="3"/>
      <c r="I54" s="3"/>
      <c r="J54" s="3"/>
      <c r="K54" s="3">
        <v>1</v>
      </c>
      <c r="L54" s="3"/>
      <c r="M54" s="3">
        <v>3</v>
      </c>
      <c r="N54" s="3">
        <v>3</v>
      </c>
      <c r="O54" s="3"/>
      <c r="P54" s="3">
        <v>2</v>
      </c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3" x14ac:dyDescent="0.3">
      <c r="A55" s="2" t="s">
        <v>92</v>
      </c>
      <c r="B55" s="3"/>
      <c r="C55" s="3"/>
      <c r="D55" s="3">
        <v>3</v>
      </c>
      <c r="E55" s="3"/>
      <c r="F55" s="3"/>
      <c r="G55" s="3">
        <v>3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3" x14ac:dyDescent="0.3">
      <c r="A56" s="2" t="s">
        <v>93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>
        <v>3</v>
      </c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3" x14ac:dyDescent="0.3">
      <c r="A57" s="2" t="s">
        <v>94</v>
      </c>
      <c r="B57" s="3">
        <v>3</v>
      </c>
      <c r="C57" s="3"/>
      <c r="D57" s="3"/>
      <c r="E57" s="3"/>
      <c r="F57" s="3"/>
      <c r="G57" s="3"/>
      <c r="H57" s="3"/>
      <c r="I57" s="3"/>
      <c r="J57" s="3"/>
      <c r="K57" s="3">
        <v>1</v>
      </c>
      <c r="L57" s="3">
        <v>1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3" x14ac:dyDescent="0.3">
      <c r="A58" s="2" t="s">
        <v>95</v>
      </c>
      <c r="B58" s="3">
        <v>2</v>
      </c>
      <c r="C58" s="3">
        <v>2</v>
      </c>
      <c r="D58" s="3"/>
      <c r="E58" s="3"/>
      <c r="F58" s="3"/>
      <c r="G58" s="3"/>
      <c r="H58" s="3"/>
      <c r="I58" s="3"/>
      <c r="J58" s="3">
        <v>2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3" x14ac:dyDescent="0.3">
      <c r="A59" s="2" t="s">
        <v>96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>
        <v>2</v>
      </c>
      <c r="R59" s="3">
        <v>2</v>
      </c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3" x14ac:dyDescent="0.3">
      <c r="A60" s="8" t="s">
        <v>97</v>
      </c>
      <c r="B60" s="3"/>
      <c r="C60" s="3"/>
      <c r="D60" s="3"/>
      <c r="E60" s="3"/>
      <c r="F60" s="3"/>
      <c r="G60" s="3"/>
      <c r="H60" s="3"/>
      <c r="I60" s="3"/>
      <c r="J60" s="3"/>
      <c r="K60" s="3">
        <v>2</v>
      </c>
      <c r="L60" s="3"/>
      <c r="M60" s="3"/>
      <c r="N60" s="3"/>
      <c r="O60" s="3">
        <v>3</v>
      </c>
      <c r="P60" s="3"/>
      <c r="Q60" s="3">
        <v>1</v>
      </c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3" x14ac:dyDescent="0.3">
      <c r="A61" s="2" t="s">
        <v>98</v>
      </c>
      <c r="B61" s="3"/>
      <c r="C61" s="3"/>
      <c r="D61" s="3">
        <v>3</v>
      </c>
      <c r="E61" s="3">
        <v>3</v>
      </c>
      <c r="F61" s="3">
        <v>3</v>
      </c>
      <c r="G61" s="3">
        <v>3</v>
      </c>
      <c r="H61" s="3">
        <v>2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3" x14ac:dyDescent="0.3">
      <c r="A62" s="2" t="s">
        <v>99</v>
      </c>
      <c r="B62" s="3"/>
      <c r="C62" s="3"/>
      <c r="D62" s="3">
        <v>3</v>
      </c>
      <c r="E62" s="3">
        <v>2</v>
      </c>
      <c r="F62" s="3">
        <v>2</v>
      </c>
      <c r="G62" s="3">
        <v>3</v>
      </c>
      <c r="H62" s="3">
        <v>2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3" x14ac:dyDescent="0.3">
      <c r="A63" s="2" t="s">
        <v>100</v>
      </c>
      <c r="B63" s="3"/>
      <c r="C63" s="3"/>
      <c r="D63" s="3">
        <v>2</v>
      </c>
      <c r="E63" s="3">
        <v>2</v>
      </c>
      <c r="F63" s="3">
        <v>2</v>
      </c>
      <c r="G63" s="3">
        <v>2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3" x14ac:dyDescent="0.3">
      <c r="A64" s="2" t="s">
        <v>101</v>
      </c>
      <c r="B64" s="3"/>
      <c r="C64" s="3"/>
      <c r="D64" s="3"/>
      <c r="E64" s="3"/>
      <c r="F64" s="3"/>
      <c r="G64" s="3">
        <v>2</v>
      </c>
      <c r="H64" s="3"/>
      <c r="I64" s="3"/>
      <c r="J64" s="3"/>
      <c r="K64" s="3"/>
      <c r="L64" s="3"/>
      <c r="M64" s="3"/>
      <c r="N64" s="3">
        <v>2</v>
      </c>
      <c r="O64" s="3"/>
      <c r="P64" s="3">
        <v>2</v>
      </c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3" x14ac:dyDescent="0.3">
      <c r="A65" s="8" t="s">
        <v>102</v>
      </c>
      <c r="B65" s="3"/>
      <c r="C65" s="3"/>
      <c r="D65" s="3"/>
      <c r="E65" s="3"/>
      <c r="F65" s="3"/>
      <c r="G65" s="3"/>
      <c r="H65" s="3"/>
      <c r="I65" s="3">
        <v>1</v>
      </c>
      <c r="J65" s="3"/>
      <c r="K65" s="3">
        <v>3</v>
      </c>
      <c r="L65" s="3"/>
      <c r="M65" s="3">
        <v>3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3" x14ac:dyDescent="0.3">
      <c r="A66" s="12" t="s">
        <v>103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2</v>
      </c>
      <c r="V66" s="3"/>
      <c r="W66" s="3"/>
      <c r="X66" s="3"/>
      <c r="Y66" s="3"/>
      <c r="Z66" s="3"/>
      <c r="AA66" s="3"/>
      <c r="AB66" s="3"/>
      <c r="AC66" s="3"/>
    </row>
    <row r="67" spans="1:29" ht="13" x14ac:dyDescent="0.3">
      <c r="A67" s="8" t="s">
        <v>104</v>
      </c>
      <c r="B67" s="3"/>
      <c r="C67" s="3"/>
      <c r="D67" s="3"/>
      <c r="E67" s="3"/>
      <c r="F67" s="3"/>
      <c r="G67" s="3"/>
      <c r="H67" s="3"/>
      <c r="I67" s="3">
        <v>1</v>
      </c>
      <c r="J67" s="3">
        <v>3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3" x14ac:dyDescent="0.3">
      <c r="A68" s="8" t="s">
        <v>105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>
        <v>3</v>
      </c>
      <c r="S68" s="3"/>
      <c r="T68" s="3">
        <v>2</v>
      </c>
      <c r="U68" s="3"/>
      <c r="V68" s="3"/>
      <c r="W68" s="3"/>
      <c r="X68" s="3"/>
      <c r="Y68" s="3"/>
      <c r="Z68" s="3"/>
      <c r="AA68" s="3"/>
      <c r="AB68" s="3"/>
      <c r="AC68" s="3"/>
    </row>
    <row r="69" spans="1:29" ht="13" x14ac:dyDescent="0.3">
      <c r="A69" s="16" t="s">
        <v>106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>
        <v>1</v>
      </c>
      <c r="Z69" s="3">
        <v>2</v>
      </c>
      <c r="AA69" s="3">
        <v>3</v>
      </c>
      <c r="AB69" s="3">
        <v>3</v>
      </c>
      <c r="AC69" s="3">
        <v>3</v>
      </c>
    </row>
    <row r="70" spans="1:29" ht="13" x14ac:dyDescent="0.3">
      <c r="A70" s="2" t="s">
        <v>107</v>
      </c>
      <c r="B70" s="3">
        <v>1</v>
      </c>
      <c r="C70" s="3">
        <v>3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>
        <v>2</v>
      </c>
      <c r="O70" s="3"/>
      <c r="P70" s="3">
        <v>2</v>
      </c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3" x14ac:dyDescent="0.3">
      <c r="A71" s="12" t="s">
        <v>108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3</v>
      </c>
      <c r="V71" s="3"/>
      <c r="W71" s="3"/>
      <c r="X71" s="3"/>
      <c r="Y71" s="3"/>
      <c r="Z71" s="3"/>
      <c r="AA71" s="3"/>
      <c r="AB71" s="3"/>
      <c r="AC71" s="3"/>
    </row>
    <row r="72" spans="1:29" ht="13" x14ac:dyDescent="0.3">
      <c r="A72" s="2" t="s">
        <v>109</v>
      </c>
      <c r="B72" s="3">
        <v>3</v>
      </c>
      <c r="C72" s="3">
        <v>2</v>
      </c>
      <c r="D72" s="3"/>
      <c r="E72" s="3"/>
      <c r="F72" s="3"/>
      <c r="G72" s="3"/>
      <c r="H72" s="3"/>
      <c r="I72" s="3"/>
      <c r="J72" s="3"/>
      <c r="K72" s="3">
        <v>2</v>
      </c>
      <c r="L72" s="3">
        <v>1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3" x14ac:dyDescent="0.3">
      <c r="A73" s="11" t="s">
        <v>110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>
        <v>3</v>
      </c>
      <c r="T73" s="3">
        <v>3</v>
      </c>
      <c r="U73" s="3"/>
      <c r="V73" s="3"/>
      <c r="W73" s="3"/>
      <c r="X73" s="3"/>
      <c r="Y73" s="3"/>
      <c r="Z73" s="3"/>
      <c r="AA73" s="3"/>
      <c r="AB73" s="3"/>
      <c r="AC73" s="3"/>
    </row>
    <row r="74" spans="1:29" ht="13" x14ac:dyDescent="0.3">
      <c r="A74" s="16" t="s">
        <v>111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>
        <v>3</v>
      </c>
      <c r="X74" s="3">
        <v>3</v>
      </c>
      <c r="Y74" s="3">
        <v>3</v>
      </c>
      <c r="Z74" s="3">
        <v>3</v>
      </c>
      <c r="AA74" s="3">
        <v>3</v>
      </c>
      <c r="AB74" s="3">
        <v>3</v>
      </c>
      <c r="AC74" s="3">
        <v>3</v>
      </c>
    </row>
    <row r="75" spans="1:29" ht="13" x14ac:dyDescent="0.3">
      <c r="A75" s="16" t="s">
        <v>112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>
        <v>1</v>
      </c>
      <c r="X75" s="3">
        <v>1</v>
      </c>
      <c r="Y75" s="3">
        <v>3</v>
      </c>
      <c r="Z75" s="3">
        <v>3</v>
      </c>
      <c r="AA75" s="3"/>
      <c r="AB75" s="3">
        <v>2</v>
      </c>
      <c r="AC75" s="3">
        <v>2</v>
      </c>
    </row>
    <row r="76" spans="1:29" ht="13" x14ac:dyDescent="0.3">
      <c r="A76" s="2" t="s">
        <v>113</v>
      </c>
      <c r="B76" s="3">
        <v>2</v>
      </c>
      <c r="C76" s="3">
        <v>2</v>
      </c>
      <c r="D76" s="3">
        <v>1</v>
      </c>
      <c r="E76" s="3"/>
      <c r="F76" s="3"/>
      <c r="G76" s="3"/>
      <c r="H76" s="3"/>
      <c r="I76" s="3"/>
      <c r="J76" s="3"/>
      <c r="K76" s="3">
        <v>1</v>
      </c>
      <c r="L76" s="3">
        <v>1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3" x14ac:dyDescent="0.3">
      <c r="A77" s="8" t="s">
        <v>114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>
        <v>2</v>
      </c>
      <c r="R77" s="3">
        <v>3</v>
      </c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3" x14ac:dyDescent="0.3">
      <c r="A78" s="12" t="s">
        <v>115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2</v>
      </c>
      <c r="V78" s="3"/>
      <c r="W78" s="3"/>
      <c r="X78" s="3"/>
      <c r="Y78" s="3"/>
      <c r="Z78" s="3"/>
      <c r="AA78" s="3"/>
      <c r="AB78" s="3"/>
      <c r="AC78" s="3"/>
    </row>
    <row r="79" spans="1:29" ht="13" x14ac:dyDescent="0.3">
      <c r="A79" s="8" t="s">
        <v>116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>
        <v>1</v>
      </c>
      <c r="N79" s="3"/>
      <c r="O79" s="3">
        <v>3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3" x14ac:dyDescent="0.3">
      <c r="A80" s="8" t="s">
        <v>117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>
        <v>1</v>
      </c>
      <c r="P80" s="3">
        <v>3</v>
      </c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3" x14ac:dyDescent="0.3">
      <c r="A81" s="11" t="s">
        <v>118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>
        <v>2</v>
      </c>
      <c r="T81" s="3">
        <v>2</v>
      </c>
      <c r="U81" s="3"/>
      <c r="V81" s="3"/>
      <c r="W81" s="3"/>
      <c r="X81" s="3"/>
      <c r="Y81" s="3"/>
      <c r="Z81" s="3"/>
      <c r="AA81" s="3"/>
      <c r="AB81" s="3"/>
      <c r="AC81" s="3"/>
    </row>
    <row r="82" spans="1:29" ht="13" x14ac:dyDescent="0.3">
      <c r="A82" s="8" t="s">
        <v>119</v>
      </c>
      <c r="B82" s="3"/>
      <c r="C82" s="3"/>
      <c r="D82" s="3"/>
      <c r="E82" s="3"/>
      <c r="F82" s="3"/>
      <c r="G82" s="3"/>
      <c r="H82" s="3"/>
      <c r="I82" s="3"/>
      <c r="J82" s="3">
        <v>3</v>
      </c>
      <c r="K82" s="3"/>
      <c r="L82" s="3"/>
      <c r="M82" s="3">
        <v>1</v>
      </c>
      <c r="N82" s="3">
        <v>1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3" x14ac:dyDescent="0.3">
      <c r="A83" s="2" t="s">
        <v>120</v>
      </c>
      <c r="B83" s="3">
        <v>3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>
        <v>2</v>
      </c>
      <c r="R83" s="3">
        <v>2</v>
      </c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3" x14ac:dyDescent="0.3">
      <c r="A84" s="8" t="s">
        <v>121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>
        <v>2</v>
      </c>
      <c r="N84" s="3">
        <v>2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3" x14ac:dyDescent="0.3">
      <c r="A85" s="11" t="s">
        <v>122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>
        <v>2</v>
      </c>
      <c r="T85" s="3">
        <v>2</v>
      </c>
      <c r="U85" s="3"/>
      <c r="V85" s="3"/>
      <c r="W85" s="3"/>
      <c r="X85" s="3"/>
      <c r="Y85" s="3"/>
      <c r="Z85" s="3"/>
      <c r="AA85" s="3"/>
      <c r="AB85" s="3"/>
      <c r="AC85" s="3"/>
    </row>
    <row r="86" spans="1:29" ht="13" x14ac:dyDescent="0.3">
      <c r="A86" s="11" t="s">
        <v>123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>
        <v>2</v>
      </c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3" x14ac:dyDescent="0.3">
      <c r="A87" s="2" t="s">
        <v>124</v>
      </c>
      <c r="B87" s="3">
        <v>2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>
        <v>2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3" x14ac:dyDescent="0.3">
      <c r="A88" s="8" t="s">
        <v>125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>
        <v>3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3" x14ac:dyDescent="0.3">
      <c r="A89" s="8" t="s">
        <v>126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>
        <v>2</v>
      </c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3" x14ac:dyDescent="0.3">
      <c r="A90" s="8" t="s">
        <v>127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>
        <v>3</v>
      </c>
      <c r="Q90" s="3">
        <v>2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3" x14ac:dyDescent="0.3">
      <c r="A91" s="2" t="s">
        <v>128</v>
      </c>
      <c r="B91" s="3">
        <v>1</v>
      </c>
      <c r="C91" s="3"/>
      <c r="D91" s="3">
        <v>1</v>
      </c>
      <c r="E91" s="3"/>
      <c r="F91" s="3"/>
      <c r="G91" s="3">
        <v>2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3" x14ac:dyDescent="0.3">
      <c r="A92" s="2" t="s">
        <v>129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>
        <v>1</v>
      </c>
      <c r="P92" s="3">
        <v>3</v>
      </c>
      <c r="Q92" s="3"/>
      <c r="R92" s="3">
        <v>2</v>
      </c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3" x14ac:dyDescent="0.3">
      <c r="A93" s="11" t="s">
        <v>130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>
        <v>2</v>
      </c>
      <c r="U93" s="3"/>
      <c r="V93" s="3"/>
      <c r="W93" s="3"/>
      <c r="X93" s="3"/>
      <c r="Y93" s="3"/>
      <c r="Z93" s="3"/>
      <c r="AA93" s="3"/>
      <c r="AB93" s="3"/>
      <c r="AC93" s="3"/>
    </row>
    <row r="94" spans="1:29" ht="13" x14ac:dyDescent="0.3">
      <c r="A94" s="12" t="s">
        <v>131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>
        <v>3</v>
      </c>
      <c r="V94" s="3"/>
      <c r="W94" s="3"/>
      <c r="X94" s="3"/>
      <c r="Y94" s="3"/>
      <c r="Z94" s="3"/>
      <c r="AA94" s="3"/>
      <c r="AB94" s="3"/>
      <c r="AC94" s="3"/>
    </row>
    <row r="95" spans="1:29" ht="13" x14ac:dyDescent="0.3">
      <c r="A95" s="11" t="s">
        <v>132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>
        <v>2</v>
      </c>
      <c r="U95" s="3"/>
      <c r="V95" s="3"/>
      <c r="W95" s="3"/>
      <c r="X95" s="3"/>
      <c r="Y95" s="3"/>
      <c r="Z95" s="3"/>
      <c r="AA95" s="3"/>
      <c r="AB95" s="3"/>
      <c r="AC95" s="3"/>
    </row>
    <row r="96" spans="1:29" ht="13" x14ac:dyDescent="0.3">
      <c r="A96" s="12" t="s">
        <v>133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>
        <v>3</v>
      </c>
      <c r="V96" s="3"/>
      <c r="W96" s="3"/>
      <c r="X96" s="3"/>
      <c r="Y96" s="3"/>
      <c r="Z96" s="3"/>
      <c r="AA96" s="3"/>
      <c r="AB96" s="3"/>
      <c r="AC96" s="3"/>
    </row>
    <row r="97" spans="1:29" ht="13" x14ac:dyDescent="0.3">
      <c r="A97" s="2" t="s">
        <v>134</v>
      </c>
      <c r="B97" s="3">
        <v>1</v>
      </c>
      <c r="C97" s="3">
        <v>3</v>
      </c>
      <c r="D97" s="3">
        <v>1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3" x14ac:dyDescent="0.3">
      <c r="A98" s="2" t="s">
        <v>135</v>
      </c>
      <c r="B98" s="3">
        <v>2</v>
      </c>
      <c r="C98" s="3"/>
      <c r="D98" s="3"/>
      <c r="E98" s="3"/>
      <c r="F98" s="3"/>
      <c r="G98" s="3">
        <v>2</v>
      </c>
      <c r="H98" s="3"/>
      <c r="I98" s="3"/>
      <c r="J98" s="3"/>
      <c r="K98" s="3">
        <v>2</v>
      </c>
      <c r="L98" s="3">
        <v>2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3" x14ac:dyDescent="0.3">
      <c r="A99" s="12" t="s">
        <v>136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>
        <v>3</v>
      </c>
      <c r="V99" s="3"/>
      <c r="W99" s="3"/>
      <c r="X99" s="3"/>
      <c r="Y99" s="3"/>
      <c r="Z99" s="3"/>
      <c r="AA99" s="3"/>
      <c r="AB99" s="3"/>
      <c r="AC99" s="3"/>
    </row>
    <row r="100" spans="1:29" ht="13" x14ac:dyDescent="0.3">
      <c r="A100" s="2" t="s">
        <v>137</v>
      </c>
      <c r="B100" s="3"/>
      <c r="C100" s="3"/>
      <c r="D100" s="3"/>
      <c r="E100" s="3"/>
      <c r="F100" s="3"/>
      <c r="G100" s="3"/>
      <c r="H100" s="3"/>
      <c r="I100" s="3"/>
      <c r="J100" s="3"/>
      <c r="K100" s="3">
        <v>3</v>
      </c>
      <c r="L100" s="3">
        <v>3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3" x14ac:dyDescent="0.3">
      <c r="A101" s="11" t="s">
        <v>138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>
        <v>2</v>
      </c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3" x14ac:dyDescent="0.3">
      <c r="A102" s="8" t="s">
        <v>139</v>
      </c>
      <c r="B102" s="3"/>
      <c r="C102" s="3"/>
      <c r="D102" s="3"/>
      <c r="E102" s="3"/>
      <c r="F102" s="3"/>
      <c r="G102" s="3"/>
      <c r="H102" s="3"/>
      <c r="I102" s="3">
        <v>2</v>
      </c>
      <c r="J102" s="3"/>
      <c r="K102" s="3">
        <v>3</v>
      </c>
      <c r="L102" s="3">
        <v>3</v>
      </c>
      <c r="M102" s="3">
        <v>3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3" x14ac:dyDescent="0.3">
      <c r="A103" s="16" t="s">
        <v>140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>
        <v>3</v>
      </c>
      <c r="X103" s="3">
        <v>3</v>
      </c>
      <c r="Y103" s="3">
        <v>3</v>
      </c>
      <c r="Z103" s="3">
        <v>3</v>
      </c>
      <c r="AA103" s="3">
        <v>2</v>
      </c>
      <c r="AB103" s="3">
        <v>2</v>
      </c>
      <c r="AC103" s="3">
        <v>2</v>
      </c>
    </row>
    <row r="104" spans="1:29" ht="13" x14ac:dyDescent="0.3">
      <c r="A104" s="11" t="s">
        <v>141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>
        <v>3</v>
      </c>
      <c r="T104" s="3">
        <v>3</v>
      </c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3" x14ac:dyDescent="0.3">
      <c r="A105" s="2" t="s">
        <v>142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>
        <v>4</v>
      </c>
      <c r="R105" s="3">
        <v>4</v>
      </c>
      <c r="S105" s="3"/>
      <c r="T105" s="3"/>
      <c r="U105" s="3">
        <v>2</v>
      </c>
      <c r="V105" s="3"/>
      <c r="W105" s="3"/>
      <c r="X105" s="3"/>
      <c r="Y105" s="3"/>
      <c r="Z105" s="3"/>
      <c r="AA105" s="3"/>
      <c r="AB105" s="3"/>
      <c r="AC105" s="3"/>
    </row>
    <row r="106" spans="1:29" ht="13" x14ac:dyDescent="0.3">
      <c r="A106" s="8" t="s">
        <v>143</v>
      </c>
      <c r="B106" s="3">
        <v>2</v>
      </c>
      <c r="C106" s="3"/>
      <c r="D106" s="3"/>
      <c r="E106" s="3"/>
      <c r="F106" s="3"/>
      <c r="G106" s="3"/>
      <c r="H106" s="3"/>
      <c r="I106" s="3">
        <v>3</v>
      </c>
      <c r="J106" s="3"/>
      <c r="K106" s="3">
        <v>2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3" x14ac:dyDescent="0.3">
      <c r="A107" s="11" t="s">
        <v>144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>
        <v>2</v>
      </c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3" x14ac:dyDescent="0.3">
      <c r="A108" s="2" t="s">
        <v>145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>
        <v>2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3" x14ac:dyDescent="0.3">
      <c r="A109" s="8" t="s">
        <v>146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>
        <v>1</v>
      </c>
      <c r="N109" s="3">
        <v>2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3" x14ac:dyDescent="0.3">
      <c r="A110" s="2" t="s">
        <v>147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>
        <v>2</v>
      </c>
      <c r="N110" s="3">
        <v>2</v>
      </c>
      <c r="O110" s="3"/>
      <c r="P110" s="3">
        <v>2</v>
      </c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3" x14ac:dyDescent="0.3">
      <c r="A111" s="2" t="s">
        <v>148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>
        <v>2</v>
      </c>
      <c r="N111" s="3"/>
      <c r="O111" s="3"/>
      <c r="P111" s="3">
        <v>2</v>
      </c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3" x14ac:dyDescent="0.3">
      <c r="A112" s="16" t="s">
        <v>149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>
        <v>1</v>
      </c>
      <c r="N112" s="3"/>
      <c r="O112" s="3"/>
      <c r="P112" s="3"/>
      <c r="Q112" s="3"/>
      <c r="R112" s="3"/>
      <c r="S112" s="3"/>
      <c r="T112" s="3"/>
      <c r="U112" s="3"/>
      <c r="V112" s="3"/>
      <c r="W112" s="3">
        <v>3</v>
      </c>
      <c r="X112" s="3">
        <v>3</v>
      </c>
      <c r="Y112" s="3"/>
      <c r="Z112" s="3">
        <v>1</v>
      </c>
      <c r="AA112" s="3">
        <v>2</v>
      </c>
      <c r="AB112" s="3"/>
      <c r="AC112" s="3"/>
    </row>
    <row r="113" spans="1:29" ht="13" x14ac:dyDescent="0.3">
      <c r="A113" s="11" t="s">
        <v>150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>
        <v>3</v>
      </c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3" x14ac:dyDescent="0.3">
      <c r="A114" s="11" t="s">
        <v>151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>
        <v>3</v>
      </c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3" x14ac:dyDescent="0.3">
      <c r="A115" s="8" t="s">
        <v>152</v>
      </c>
      <c r="B115" s="3"/>
      <c r="C115" s="3"/>
      <c r="D115" s="3"/>
      <c r="E115" s="3"/>
      <c r="F115" s="3"/>
      <c r="G115" s="3"/>
      <c r="H115" s="3"/>
      <c r="I115" s="3"/>
      <c r="J115" s="3">
        <v>2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3" x14ac:dyDescent="0.3">
      <c r="A116" s="2" t="s">
        <v>153</v>
      </c>
      <c r="B116" s="3">
        <v>2</v>
      </c>
      <c r="C116" s="3"/>
      <c r="D116" s="3"/>
      <c r="E116" s="3"/>
      <c r="F116" s="3"/>
      <c r="G116" s="3"/>
      <c r="H116" s="3"/>
      <c r="I116" s="3"/>
      <c r="J116" s="3"/>
      <c r="K116" s="3">
        <v>2</v>
      </c>
      <c r="L116" s="3">
        <v>1</v>
      </c>
      <c r="M116" s="3"/>
      <c r="N116" s="3"/>
      <c r="O116" s="3"/>
      <c r="P116" s="3">
        <v>2</v>
      </c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3" x14ac:dyDescent="0.3">
      <c r="A117" s="2" t="s">
        <v>154</v>
      </c>
      <c r="B117" s="3">
        <v>2</v>
      </c>
      <c r="C117" s="3"/>
      <c r="D117" s="3">
        <v>1</v>
      </c>
      <c r="E117" s="3"/>
      <c r="F117" s="3"/>
      <c r="G117" s="3">
        <v>2</v>
      </c>
      <c r="H117" s="3"/>
      <c r="I117" s="3"/>
      <c r="J117" s="3"/>
      <c r="K117" s="3"/>
      <c r="L117" s="3">
        <v>3</v>
      </c>
      <c r="M117" s="3"/>
      <c r="N117" s="3">
        <v>1</v>
      </c>
      <c r="O117" s="3"/>
      <c r="P117" s="3">
        <v>2</v>
      </c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3" x14ac:dyDescent="0.3">
      <c r="A118" s="2" t="s">
        <v>155</v>
      </c>
      <c r="B118" s="3">
        <v>2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>
        <v>2</v>
      </c>
      <c r="N118" s="3">
        <v>2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3" x14ac:dyDescent="0.3">
      <c r="A119" s="2" t="s">
        <v>156</v>
      </c>
      <c r="B119" s="3">
        <v>1</v>
      </c>
      <c r="C119" s="3"/>
      <c r="D119" s="3">
        <v>2</v>
      </c>
      <c r="E119" s="3"/>
      <c r="F119" s="3"/>
      <c r="G119" s="3">
        <v>2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>
        <v>2</v>
      </c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3" x14ac:dyDescent="0.3">
      <c r="A120" s="2" t="s">
        <v>157</v>
      </c>
      <c r="B120" s="3"/>
      <c r="C120" s="3"/>
      <c r="D120" s="3">
        <v>3</v>
      </c>
      <c r="E120" s="3">
        <v>3</v>
      </c>
      <c r="F120" s="3">
        <v>3</v>
      </c>
      <c r="G120" s="3">
        <v>3</v>
      </c>
      <c r="H120" s="3">
        <v>2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3" x14ac:dyDescent="0.3">
      <c r="A121" s="2" t="s">
        <v>158</v>
      </c>
      <c r="B121" s="3">
        <v>2</v>
      </c>
      <c r="C121" s="3"/>
      <c r="D121" s="3">
        <v>2</v>
      </c>
      <c r="E121" s="3"/>
      <c r="F121" s="3"/>
      <c r="G121" s="3">
        <v>2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>
        <v>2</v>
      </c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3" x14ac:dyDescent="0.3">
      <c r="A122" s="11" t="s">
        <v>159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>
        <v>2</v>
      </c>
      <c r="T122" s="3">
        <v>3</v>
      </c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3" x14ac:dyDescent="0.3">
      <c r="A123" s="2" t="s">
        <v>160</v>
      </c>
      <c r="B123" s="3">
        <v>1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>
        <v>2</v>
      </c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3" x14ac:dyDescent="0.3">
      <c r="A124" s="11" t="s">
        <v>161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>
        <v>2</v>
      </c>
      <c r="T124" s="3">
        <v>2</v>
      </c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3" x14ac:dyDescent="0.3">
      <c r="A125" s="11" t="s">
        <v>162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>
        <v>2</v>
      </c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3" x14ac:dyDescent="0.3">
      <c r="A126" s="17" t="s">
        <v>163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3" x14ac:dyDescent="0.3">
      <c r="A127" s="8" t="s">
        <v>164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>
        <v>2</v>
      </c>
      <c r="P127" s="3"/>
      <c r="Q127" s="3">
        <v>1</v>
      </c>
      <c r="R127" s="3">
        <v>3</v>
      </c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3" x14ac:dyDescent="0.3">
      <c r="A128" s="2" t="s">
        <v>165</v>
      </c>
      <c r="B128" s="3">
        <v>2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>
        <v>2</v>
      </c>
      <c r="R128" s="3">
        <v>2</v>
      </c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3" x14ac:dyDescent="0.3">
      <c r="A129" s="11" t="s">
        <v>166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>
        <v>3</v>
      </c>
      <c r="T129" s="3">
        <v>3</v>
      </c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3" x14ac:dyDescent="0.3">
      <c r="A130" s="2" t="s">
        <v>167</v>
      </c>
      <c r="B130" s="3">
        <v>2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>
        <v>2</v>
      </c>
      <c r="R130" s="3">
        <v>2</v>
      </c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3" x14ac:dyDescent="0.3">
      <c r="A131" s="11" t="s">
        <v>168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>
        <v>3</v>
      </c>
      <c r="T131" s="3">
        <v>3</v>
      </c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3" x14ac:dyDescent="0.3">
      <c r="A132" s="11" t="s">
        <v>169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>
        <v>2</v>
      </c>
      <c r="T132" s="3">
        <v>2</v>
      </c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3" x14ac:dyDescent="0.3">
      <c r="A133" s="11" t="s">
        <v>170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>
        <v>2</v>
      </c>
      <c r="T133" s="3">
        <v>2</v>
      </c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3" x14ac:dyDescent="0.3">
      <c r="A134" s="2" t="s">
        <v>171</v>
      </c>
      <c r="B134" s="3">
        <v>2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2</v>
      </c>
      <c r="R134" s="3">
        <v>2</v>
      </c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3" x14ac:dyDescent="0.3">
      <c r="A135" s="8" t="s">
        <v>172</v>
      </c>
      <c r="B135" s="3"/>
      <c r="C135" s="3"/>
      <c r="D135" s="3"/>
      <c r="E135" s="3"/>
      <c r="F135" s="3"/>
      <c r="G135" s="3"/>
      <c r="H135" s="3"/>
      <c r="I135" s="3"/>
      <c r="J135" s="3">
        <v>3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3" x14ac:dyDescent="0.3">
      <c r="A136" s="8" t="s">
        <v>173</v>
      </c>
      <c r="B136" s="3"/>
      <c r="C136" s="3"/>
      <c r="D136" s="3"/>
      <c r="E136" s="3"/>
      <c r="F136" s="3"/>
      <c r="G136" s="3"/>
      <c r="H136" s="3"/>
      <c r="I136" s="3"/>
      <c r="J136" s="3">
        <v>3</v>
      </c>
      <c r="K136" s="3"/>
      <c r="L136" s="3"/>
      <c r="M136" s="3"/>
      <c r="N136" s="3"/>
      <c r="O136" s="3"/>
      <c r="P136" s="3"/>
      <c r="Q136" s="3">
        <v>2</v>
      </c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3" x14ac:dyDescent="0.3">
      <c r="A137" s="8" t="s">
        <v>174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>
        <v>2</v>
      </c>
      <c r="Q137" s="3"/>
      <c r="R137" s="3">
        <v>2</v>
      </c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3" x14ac:dyDescent="0.3">
      <c r="X138" s="5"/>
    </row>
  </sheetData>
  <autoFilter ref="A1:AC1" xr:uid="{76DE0837-F9FF-4008-9207-D74B5B1CD4E5}">
    <sortState xmlns:xlrd2="http://schemas.microsoft.com/office/spreadsheetml/2017/richdata2" ref="A2:AC137">
      <sortCondition ref="A1"/>
    </sortState>
  </autoFilter>
  <conditionalFormatting sqref="B2:AC137">
    <cfRule type="cellIs" dxfId="15" priority="1" operator="equal">
      <formula>4</formula>
    </cfRule>
    <cfRule type="cellIs" dxfId="14" priority="2" operator="equal">
      <formula>3</formula>
    </cfRule>
    <cfRule type="cellIs" dxfId="13" priority="3" operator="equal">
      <formula>2</formula>
    </cfRule>
    <cfRule type="cellIs" dxfId="12" priority="4" operator="equal">
      <formula>1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6C2A2-A4EA-469E-938B-77B7ACD563E2}">
  <sheetPr>
    <pageSetUpPr fitToPage="1"/>
  </sheetPr>
  <dimension ref="A1:GY413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O3" sqref="O3"/>
    </sheetView>
  </sheetViews>
  <sheetFormatPr defaultColWidth="31.54296875" defaultRowHeight="12.5" x14ac:dyDescent="0.25"/>
  <cols>
    <col min="1" max="1" width="21" style="1" bestFit="1" customWidth="1"/>
    <col min="2" max="52" width="3" style="1" customWidth="1"/>
    <col min="53" max="16384" width="31.54296875" style="1"/>
  </cols>
  <sheetData>
    <row r="1" spans="1:54" ht="23" x14ac:dyDescent="0.25">
      <c r="A1" s="36" t="s">
        <v>175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</row>
    <row r="2" spans="1:54" ht="23.5" thickBo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</row>
    <row r="3" spans="1:54" ht="156.65" customHeight="1" thickBot="1" x14ac:dyDescent="0.3">
      <c r="A3" s="18" t="s">
        <v>0</v>
      </c>
      <c r="B3" s="21" t="s">
        <v>1</v>
      </c>
      <c r="C3" s="21" t="s">
        <v>176</v>
      </c>
      <c r="D3" s="21" t="s">
        <v>177</v>
      </c>
      <c r="E3" s="21" t="s">
        <v>178</v>
      </c>
      <c r="F3" s="21" t="s">
        <v>2</v>
      </c>
      <c r="G3" s="21" t="s">
        <v>179</v>
      </c>
      <c r="H3" s="21" t="s">
        <v>7</v>
      </c>
      <c r="I3" s="21" t="s">
        <v>180</v>
      </c>
      <c r="J3" s="21" t="s">
        <v>3</v>
      </c>
      <c r="K3" s="21" t="s">
        <v>4</v>
      </c>
      <c r="L3" s="21" t="s">
        <v>181</v>
      </c>
      <c r="M3" s="21" t="s">
        <v>5</v>
      </c>
      <c r="N3" s="21" t="s">
        <v>182</v>
      </c>
      <c r="O3" s="21" t="s">
        <v>485</v>
      </c>
      <c r="P3" s="21" t="s">
        <v>397</v>
      </c>
      <c r="Q3" s="21" t="s">
        <v>464</v>
      </c>
      <c r="R3" s="21" t="s">
        <v>6</v>
      </c>
      <c r="S3" s="21" t="s">
        <v>9</v>
      </c>
      <c r="T3" s="21" t="s">
        <v>183</v>
      </c>
      <c r="U3" s="21" t="s">
        <v>10</v>
      </c>
      <c r="V3" s="21" t="s">
        <v>184</v>
      </c>
      <c r="W3" s="21" t="s">
        <v>12</v>
      </c>
      <c r="X3" s="21" t="s">
        <v>14</v>
      </c>
      <c r="Y3" s="21" t="s">
        <v>185</v>
      </c>
      <c r="Z3" s="21" t="s">
        <v>186</v>
      </c>
      <c r="AA3" s="21" t="s">
        <v>187</v>
      </c>
      <c r="AB3" s="21" t="s">
        <v>188</v>
      </c>
      <c r="AC3" s="21" t="s">
        <v>16</v>
      </c>
      <c r="AD3" s="21" t="s">
        <v>17</v>
      </c>
      <c r="AE3" s="21" t="s">
        <v>189</v>
      </c>
      <c r="AF3" s="21" t="s">
        <v>190</v>
      </c>
      <c r="AG3" s="21" t="s">
        <v>191</v>
      </c>
      <c r="AH3" s="21" t="s">
        <v>192</v>
      </c>
      <c r="AI3" s="21" t="s">
        <v>193</v>
      </c>
      <c r="AJ3" s="21" t="s">
        <v>194</v>
      </c>
      <c r="AK3" s="21" t="s">
        <v>195</v>
      </c>
      <c r="AL3" s="21" t="s">
        <v>196</v>
      </c>
      <c r="AM3" s="21" t="s">
        <v>197</v>
      </c>
      <c r="AN3" s="21" t="s">
        <v>198</v>
      </c>
      <c r="AO3" s="21" t="s">
        <v>199</v>
      </c>
      <c r="AP3" s="21" t="s">
        <v>415</v>
      </c>
      <c r="AQ3" s="21" t="s">
        <v>200</v>
      </c>
      <c r="AR3" s="21" t="s">
        <v>201</v>
      </c>
      <c r="AS3" s="21" t="s">
        <v>486</v>
      </c>
      <c r="AT3" s="21" t="s">
        <v>202</v>
      </c>
      <c r="AU3" s="21" t="s">
        <v>203</v>
      </c>
      <c r="AV3" s="21" t="s">
        <v>204</v>
      </c>
      <c r="AW3" s="21" t="s">
        <v>205</v>
      </c>
      <c r="AX3" s="21" t="s">
        <v>206</v>
      </c>
      <c r="AY3" s="21" t="s">
        <v>207</v>
      </c>
      <c r="AZ3" s="21" t="s">
        <v>208</v>
      </c>
    </row>
    <row r="4" spans="1:54" ht="13" x14ac:dyDescent="0.3">
      <c r="A4" s="23" t="s">
        <v>209</v>
      </c>
      <c r="B4" s="20">
        <v>3</v>
      </c>
      <c r="C4" s="20">
        <v>3</v>
      </c>
      <c r="D4" s="20">
        <v>3</v>
      </c>
      <c r="E4" s="20">
        <v>3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>
        <v>2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1">
        <f>(COUNTIF($B$1:$AZ$381,1))</f>
        <v>160</v>
      </c>
    </row>
    <row r="5" spans="1:54" ht="13" x14ac:dyDescent="0.3">
      <c r="A5" s="23" t="s">
        <v>31</v>
      </c>
      <c r="B5" s="20"/>
      <c r="C5" s="20"/>
      <c r="D5" s="20"/>
      <c r="E5" s="20"/>
      <c r="F5" s="3"/>
      <c r="G5" s="3"/>
      <c r="H5" s="3">
        <v>1</v>
      </c>
      <c r="I5" s="3"/>
      <c r="J5" s="3"/>
      <c r="K5" s="3"/>
      <c r="L5" s="3"/>
      <c r="M5" s="3"/>
      <c r="N5" s="3">
        <v>1</v>
      </c>
      <c r="O5" s="3"/>
      <c r="P5" s="3"/>
      <c r="Q5" s="3"/>
      <c r="R5" s="3"/>
      <c r="S5" s="3"/>
      <c r="T5" s="3"/>
      <c r="U5" s="3">
        <v>3</v>
      </c>
      <c r="V5" s="3">
        <v>3</v>
      </c>
      <c r="W5" s="3"/>
      <c r="X5" s="3"/>
      <c r="Y5" s="3"/>
      <c r="Z5" s="3">
        <v>2</v>
      </c>
      <c r="AA5" s="3"/>
      <c r="AB5" s="3">
        <v>2</v>
      </c>
      <c r="AC5" s="3">
        <v>1</v>
      </c>
      <c r="AD5" s="3">
        <v>2</v>
      </c>
      <c r="AE5" s="3"/>
      <c r="AF5" s="3"/>
      <c r="AG5" s="3">
        <v>2</v>
      </c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>
        <v>2</v>
      </c>
      <c r="AT5" s="3">
        <v>2</v>
      </c>
      <c r="AU5" s="3"/>
      <c r="AV5" s="3"/>
      <c r="AW5" s="3"/>
      <c r="AX5" s="3"/>
      <c r="AY5" s="3"/>
      <c r="AZ5" s="3"/>
      <c r="BA5" s="1">
        <f>(COUNTIF($B$1:$AZ$381,2))</f>
        <v>1073</v>
      </c>
      <c r="BB5" s="1">
        <f>BA5-799</f>
        <v>274</v>
      </c>
    </row>
    <row r="6" spans="1:54" ht="13" x14ac:dyDescent="0.3">
      <c r="A6" s="23" t="s">
        <v>398</v>
      </c>
      <c r="B6" s="20"/>
      <c r="C6" s="20"/>
      <c r="D6" s="20"/>
      <c r="E6" s="20"/>
      <c r="F6" s="3"/>
      <c r="G6" s="3"/>
      <c r="H6" s="3"/>
      <c r="I6" s="3"/>
      <c r="J6" s="3"/>
      <c r="K6" s="3"/>
      <c r="L6" s="3"/>
      <c r="M6" s="3"/>
      <c r="N6" s="3"/>
      <c r="O6" s="3"/>
      <c r="P6" s="3">
        <v>2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1">
        <f>(COUNTIF($B$1:$AZ$381,3))</f>
        <v>300</v>
      </c>
      <c r="BB6" s="1">
        <f>BA6-300</f>
        <v>0</v>
      </c>
    </row>
    <row r="7" spans="1:54" ht="13" x14ac:dyDescent="0.3">
      <c r="A7" s="23" t="s">
        <v>424</v>
      </c>
      <c r="B7" s="20"/>
      <c r="C7" s="20"/>
      <c r="D7" s="20"/>
      <c r="E7" s="20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>
        <v>1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</row>
    <row r="8" spans="1:54" ht="13" x14ac:dyDescent="0.3">
      <c r="A8" s="23" t="s">
        <v>436</v>
      </c>
      <c r="B8" s="20"/>
      <c r="C8" s="20"/>
      <c r="D8" s="20"/>
      <c r="E8" s="20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>
        <v>1</v>
      </c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4" ht="13" x14ac:dyDescent="0.3">
      <c r="A9" s="23" t="s">
        <v>210</v>
      </c>
      <c r="B9" s="20"/>
      <c r="C9" s="20"/>
      <c r="D9" s="20"/>
      <c r="E9" s="20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2</v>
      </c>
      <c r="AY9" s="3"/>
      <c r="AZ9" s="3"/>
    </row>
    <row r="10" spans="1:54" ht="13" x14ac:dyDescent="0.3">
      <c r="A10" s="23" t="s">
        <v>211</v>
      </c>
      <c r="B10" s="20"/>
      <c r="C10" s="20"/>
      <c r="D10" s="20"/>
      <c r="E10" s="20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>
        <v>2</v>
      </c>
      <c r="AT10" s="3"/>
      <c r="AU10" s="3"/>
      <c r="AV10" s="3"/>
      <c r="AW10" s="3"/>
      <c r="AX10" s="3"/>
      <c r="AY10" s="3"/>
      <c r="AZ10" s="3"/>
    </row>
    <row r="11" spans="1:54" ht="13" x14ac:dyDescent="0.3">
      <c r="A11" s="23" t="s">
        <v>212</v>
      </c>
      <c r="B11" s="20"/>
      <c r="C11" s="20"/>
      <c r="D11" s="20"/>
      <c r="E11" s="20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>
        <v>2</v>
      </c>
      <c r="AR11" s="3"/>
      <c r="AS11" s="3">
        <v>2</v>
      </c>
      <c r="AT11" s="3">
        <v>2</v>
      </c>
      <c r="AU11" s="3">
        <v>2</v>
      </c>
      <c r="AV11" s="3"/>
      <c r="AW11" s="3">
        <v>2</v>
      </c>
      <c r="AX11" s="3"/>
      <c r="AY11" s="3"/>
      <c r="AZ11" s="3"/>
    </row>
    <row r="12" spans="1:54" ht="13" x14ac:dyDescent="0.3">
      <c r="A12" s="23" t="s">
        <v>213</v>
      </c>
      <c r="B12" s="20"/>
      <c r="C12" s="20"/>
      <c r="D12" s="20"/>
      <c r="E12" s="20"/>
      <c r="F12" s="3"/>
      <c r="G12" s="3"/>
      <c r="H12" s="3">
        <v>2</v>
      </c>
      <c r="I12" s="3"/>
      <c r="J12" s="3"/>
      <c r="K12" s="3"/>
      <c r="L12" s="3"/>
      <c r="M12" s="3"/>
      <c r="N12" s="3"/>
      <c r="O12" s="3">
        <v>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2</v>
      </c>
      <c r="AD12" s="3">
        <v>2</v>
      </c>
      <c r="AE12" s="3"/>
      <c r="AF12" s="3"/>
      <c r="AG12" s="3">
        <v>2</v>
      </c>
      <c r="AH12" s="3"/>
      <c r="AI12" s="3"/>
      <c r="AJ12" s="3"/>
      <c r="AK12" s="3"/>
      <c r="AL12" s="3">
        <v>2</v>
      </c>
      <c r="AM12" s="3"/>
      <c r="AN12" s="3">
        <v>1</v>
      </c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4" ht="13" x14ac:dyDescent="0.3">
      <c r="A13" s="23" t="s">
        <v>214</v>
      </c>
      <c r="B13" s="20"/>
      <c r="C13" s="20"/>
      <c r="D13" s="20"/>
      <c r="E13" s="20"/>
      <c r="F13" s="3"/>
      <c r="G13" s="3"/>
      <c r="H13" s="3"/>
      <c r="I13" s="3">
        <v>2</v>
      </c>
      <c r="J13" s="3"/>
      <c r="K13" s="3"/>
      <c r="L13" s="3"/>
      <c r="M13" s="3"/>
      <c r="N13" s="3"/>
      <c r="O13" s="3"/>
      <c r="P13" s="3"/>
      <c r="Q13" s="3"/>
      <c r="R13" s="3"/>
      <c r="S13" s="3">
        <v>2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>
        <v>2</v>
      </c>
      <c r="AT13" s="3"/>
      <c r="AU13" s="3"/>
      <c r="AV13" s="3"/>
      <c r="AW13" s="3"/>
      <c r="AX13" s="3"/>
      <c r="AY13" s="3"/>
      <c r="AZ13" s="3"/>
    </row>
    <row r="14" spans="1:54" ht="13" x14ac:dyDescent="0.3">
      <c r="A14" s="23" t="s">
        <v>383</v>
      </c>
      <c r="B14" s="20"/>
      <c r="C14" s="20"/>
      <c r="D14" s="20">
        <v>2</v>
      </c>
      <c r="E14" s="20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4" ht="13" x14ac:dyDescent="0.3">
      <c r="A15" s="23" t="s">
        <v>401</v>
      </c>
      <c r="B15" s="20"/>
      <c r="C15" s="20"/>
      <c r="D15" s="20"/>
      <c r="E15" s="20"/>
      <c r="F15" s="3"/>
      <c r="G15" s="3"/>
      <c r="H15" s="3"/>
      <c r="I15" s="3"/>
      <c r="J15" s="3">
        <v>1</v>
      </c>
      <c r="K15" s="3"/>
      <c r="L15" s="3"/>
      <c r="M15" s="3"/>
      <c r="N15" s="3"/>
      <c r="O15" s="3"/>
      <c r="P15" s="3"/>
      <c r="Q15" s="3"/>
      <c r="R15" s="3">
        <v>1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>
        <v>1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4" ht="13" x14ac:dyDescent="0.3">
      <c r="A16" s="23" t="s">
        <v>215</v>
      </c>
      <c r="B16" s="20"/>
      <c r="C16" s="20"/>
      <c r="D16" s="20"/>
      <c r="E16" s="20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>
        <v>1</v>
      </c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 ht="13" x14ac:dyDescent="0.3">
      <c r="A17" s="23" t="s">
        <v>34</v>
      </c>
      <c r="B17" s="20">
        <v>3</v>
      </c>
      <c r="C17" s="20"/>
      <c r="D17" s="20"/>
      <c r="E17" s="20"/>
      <c r="F17" s="3"/>
      <c r="G17" s="3"/>
      <c r="H17" s="3"/>
      <c r="I17" s="3"/>
      <c r="J17" s="3">
        <v>2</v>
      </c>
      <c r="K17" s="3"/>
      <c r="L17" s="3"/>
      <c r="M17" s="3"/>
      <c r="N17" s="3"/>
      <c r="O17" s="3"/>
      <c r="P17" s="3"/>
      <c r="Q17" s="3">
        <v>2</v>
      </c>
      <c r="R17" s="3">
        <v>2</v>
      </c>
      <c r="S17" s="3"/>
      <c r="T17" s="3"/>
      <c r="U17" s="3"/>
      <c r="V17" s="3"/>
      <c r="W17" s="3"/>
      <c r="X17" s="3"/>
      <c r="Y17" s="3">
        <v>2</v>
      </c>
      <c r="Z17" s="3">
        <v>2</v>
      </c>
      <c r="AA17" s="3"/>
      <c r="AB17" s="3">
        <v>2</v>
      </c>
      <c r="AC17" s="3">
        <v>2</v>
      </c>
      <c r="AD17" s="3">
        <v>2</v>
      </c>
      <c r="AE17" s="3"/>
      <c r="AF17" s="3"/>
      <c r="AG17" s="3"/>
      <c r="AH17" s="3">
        <v>2</v>
      </c>
      <c r="AI17" s="3"/>
      <c r="AJ17" s="3"/>
      <c r="AK17" s="3"/>
      <c r="AL17" s="3"/>
      <c r="AM17" s="3"/>
      <c r="AN17" s="3">
        <v>2</v>
      </c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 ht="13" x14ac:dyDescent="0.3">
      <c r="A18" s="23" t="s">
        <v>216</v>
      </c>
      <c r="B18" s="20"/>
      <c r="C18" s="20"/>
      <c r="D18" s="20"/>
      <c r="E18" s="20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1</v>
      </c>
      <c r="AD18" s="3">
        <v>1</v>
      </c>
      <c r="AE18" s="3"/>
      <c r="AF18" s="3"/>
      <c r="AG18" s="3"/>
      <c r="AH18" s="3"/>
      <c r="AI18" s="3"/>
      <c r="AJ18" s="3"/>
      <c r="AK18" s="3"/>
      <c r="AL18" s="3">
        <v>2</v>
      </c>
      <c r="AM18" s="3"/>
      <c r="AN18" s="3">
        <v>2</v>
      </c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 ht="13" x14ac:dyDescent="0.3">
      <c r="A19" s="23" t="s">
        <v>457</v>
      </c>
      <c r="B19" s="20"/>
      <c r="C19" s="20"/>
      <c r="D19" s="20"/>
      <c r="E19" s="20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1</v>
      </c>
      <c r="AD19" s="3">
        <v>1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 ht="13" x14ac:dyDescent="0.3">
      <c r="A20" s="23" t="s">
        <v>217</v>
      </c>
      <c r="B20" s="20"/>
      <c r="C20" s="20"/>
      <c r="D20" s="20"/>
      <c r="E20" s="20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>
        <v>1</v>
      </c>
      <c r="AR20" s="3"/>
      <c r="AS20" s="3"/>
      <c r="AT20" s="3"/>
      <c r="AU20" s="3"/>
      <c r="AV20" s="3"/>
      <c r="AW20" s="3"/>
      <c r="AX20" s="3"/>
      <c r="AY20" s="3"/>
      <c r="AZ20" s="3"/>
    </row>
    <row r="21" spans="1:52" ht="13" x14ac:dyDescent="0.3">
      <c r="A21" s="23" t="s">
        <v>218</v>
      </c>
      <c r="B21" s="20"/>
      <c r="C21" s="20"/>
      <c r="D21" s="20"/>
      <c r="E21" s="20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>
        <v>2</v>
      </c>
      <c r="AT21" s="3">
        <v>2</v>
      </c>
      <c r="AU21" s="3">
        <v>2</v>
      </c>
      <c r="AV21" s="3"/>
      <c r="AW21" s="3"/>
      <c r="AX21" s="3">
        <v>2</v>
      </c>
      <c r="AY21" s="3"/>
      <c r="AZ21" s="3"/>
    </row>
    <row r="22" spans="1:52" ht="13" x14ac:dyDescent="0.3">
      <c r="A22" s="23" t="s">
        <v>37</v>
      </c>
      <c r="B22" s="20"/>
      <c r="C22" s="20"/>
      <c r="D22" s="20"/>
      <c r="E22" s="20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>
        <v>2</v>
      </c>
      <c r="X22" s="3"/>
      <c r="Y22" s="3"/>
      <c r="Z22" s="3"/>
      <c r="AA22" s="3">
        <v>3</v>
      </c>
      <c r="AB22" s="3">
        <v>3</v>
      </c>
      <c r="AC22" s="3">
        <v>3</v>
      </c>
      <c r="AD22" s="3">
        <v>3</v>
      </c>
      <c r="AE22" s="3"/>
      <c r="AF22" s="3"/>
      <c r="AG22" s="3">
        <v>2</v>
      </c>
      <c r="AH22" s="3"/>
      <c r="AI22" s="3"/>
      <c r="AJ22" s="3"/>
      <c r="AK22" s="3">
        <v>2</v>
      </c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 ht="13" x14ac:dyDescent="0.3">
      <c r="A23" s="23" t="s">
        <v>474</v>
      </c>
      <c r="B23" s="20"/>
      <c r="C23" s="20"/>
      <c r="D23" s="20"/>
      <c r="E23" s="20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>
        <v>1</v>
      </c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 ht="13" x14ac:dyDescent="0.3">
      <c r="A24" s="23" t="s">
        <v>220</v>
      </c>
      <c r="B24" s="20"/>
      <c r="C24" s="20"/>
      <c r="D24" s="20"/>
      <c r="E24" s="20"/>
      <c r="F24" s="3"/>
      <c r="G24" s="3"/>
      <c r="H24" s="3"/>
      <c r="I24" s="3"/>
      <c r="J24" s="3">
        <v>2</v>
      </c>
      <c r="K24" s="3"/>
      <c r="L24" s="3"/>
      <c r="M24" s="3"/>
      <c r="N24" s="3"/>
      <c r="O24" s="3"/>
      <c r="P24" s="3"/>
      <c r="Q24" s="3">
        <v>2</v>
      </c>
      <c r="R24" s="3">
        <v>2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>
        <v>2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 ht="13" x14ac:dyDescent="0.3">
      <c r="A25" s="23" t="s">
        <v>425</v>
      </c>
      <c r="B25" s="20"/>
      <c r="C25" s="20"/>
      <c r="D25" s="20"/>
      <c r="E25" s="20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1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 ht="13" x14ac:dyDescent="0.3">
      <c r="A26" s="23" t="s">
        <v>221</v>
      </c>
      <c r="B26" s="20"/>
      <c r="C26" s="20"/>
      <c r="D26" s="20"/>
      <c r="E26" s="20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2</v>
      </c>
      <c r="AY26" s="3"/>
      <c r="AZ26" s="3"/>
    </row>
    <row r="27" spans="1:52" ht="13" x14ac:dyDescent="0.3">
      <c r="A27" s="23" t="s">
        <v>38</v>
      </c>
      <c r="B27" s="20">
        <v>2</v>
      </c>
      <c r="C27" s="20"/>
      <c r="D27" s="20"/>
      <c r="E27" s="20"/>
      <c r="F27" s="3"/>
      <c r="G27" s="3"/>
      <c r="H27" s="3"/>
      <c r="I27" s="3"/>
      <c r="J27" s="3">
        <v>3</v>
      </c>
      <c r="K27" s="3"/>
      <c r="L27" s="3"/>
      <c r="M27" s="3"/>
      <c r="N27" s="3"/>
      <c r="O27" s="3"/>
      <c r="P27" s="3"/>
      <c r="Q27" s="3"/>
      <c r="R27" s="3">
        <v>3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>
        <v>2</v>
      </c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 ht="13" x14ac:dyDescent="0.3">
      <c r="A28" s="23" t="s">
        <v>222</v>
      </c>
      <c r="B28" s="20"/>
      <c r="C28" s="20"/>
      <c r="D28" s="20"/>
      <c r="E28" s="20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2</v>
      </c>
      <c r="AY28" s="3"/>
      <c r="AZ28" s="3"/>
    </row>
    <row r="29" spans="1:52" ht="13" x14ac:dyDescent="0.3">
      <c r="A29" s="23" t="s">
        <v>223</v>
      </c>
      <c r="B29" s="20"/>
      <c r="C29" s="20"/>
      <c r="D29" s="20"/>
      <c r="E29" s="20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>
        <v>2</v>
      </c>
      <c r="AR29" s="3"/>
      <c r="AS29" s="3"/>
      <c r="AT29" s="3"/>
      <c r="AU29" s="3">
        <v>2</v>
      </c>
      <c r="AV29" s="3"/>
      <c r="AW29" s="3"/>
      <c r="AX29" s="3"/>
      <c r="AY29" s="3"/>
      <c r="AZ29" s="3"/>
    </row>
    <row r="30" spans="1:52" ht="13" x14ac:dyDescent="0.3">
      <c r="A30" s="23" t="s">
        <v>224</v>
      </c>
      <c r="B30" s="20">
        <v>3</v>
      </c>
      <c r="C30" s="20">
        <v>3</v>
      </c>
      <c r="D30" s="20"/>
      <c r="E30" s="20">
        <v>3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>
        <v>2</v>
      </c>
      <c r="AR30" s="3"/>
      <c r="AS30" s="3"/>
      <c r="AT30" s="3"/>
      <c r="AU30" s="3"/>
      <c r="AV30" s="3"/>
      <c r="AW30" s="3"/>
      <c r="AX30" s="3"/>
      <c r="AY30" s="3"/>
      <c r="AZ30" s="3"/>
    </row>
    <row r="31" spans="1:52" ht="13" x14ac:dyDescent="0.3">
      <c r="A31" s="23" t="s">
        <v>440</v>
      </c>
      <c r="B31" s="20"/>
      <c r="C31" s="20"/>
      <c r="D31" s="20"/>
      <c r="E31" s="20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1</v>
      </c>
      <c r="AD31" s="3">
        <v>1</v>
      </c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2" ht="13" x14ac:dyDescent="0.3">
      <c r="A32" s="23" t="s">
        <v>225</v>
      </c>
      <c r="B32" s="20"/>
      <c r="C32" s="20"/>
      <c r="D32" s="20"/>
      <c r="E32" s="20"/>
      <c r="F32" s="3"/>
      <c r="G32" s="3"/>
      <c r="H32" s="3"/>
      <c r="I32" s="3"/>
      <c r="J32" s="3">
        <v>2</v>
      </c>
      <c r="K32" s="3"/>
      <c r="L32" s="3"/>
      <c r="M32" s="3"/>
      <c r="N32" s="3"/>
      <c r="O32" s="3"/>
      <c r="P32" s="3"/>
      <c r="Q32" s="3">
        <v>2</v>
      </c>
      <c r="R32" s="3">
        <v>2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>
        <v>2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 ht="13" x14ac:dyDescent="0.3">
      <c r="A33" s="23" t="s">
        <v>226</v>
      </c>
      <c r="B33" s="20"/>
      <c r="C33" s="20"/>
      <c r="D33" s="20"/>
      <c r="E33" s="20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>
        <v>2</v>
      </c>
      <c r="AM33" s="3"/>
      <c r="AN33" s="3">
        <v>2</v>
      </c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 ht="13" x14ac:dyDescent="0.3">
      <c r="A34" s="23" t="s">
        <v>44</v>
      </c>
      <c r="B34" s="20"/>
      <c r="C34" s="20"/>
      <c r="D34" s="20"/>
      <c r="E34" s="20"/>
      <c r="F34" s="3"/>
      <c r="G34" s="3"/>
      <c r="H34" s="3">
        <v>2</v>
      </c>
      <c r="I34" s="3"/>
      <c r="J34" s="3">
        <v>3</v>
      </c>
      <c r="K34" s="3"/>
      <c r="L34" s="3">
        <v>2</v>
      </c>
      <c r="M34" s="3"/>
      <c r="N34" s="3"/>
      <c r="O34" s="3"/>
      <c r="P34" s="3"/>
      <c r="Q34" s="3">
        <v>2</v>
      </c>
      <c r="R34" s="3">
        <v>3</v>
      </c>
      <c r="S34" s="3"/>
      <c r="T34" s="3">
        <v>2</v>
      </c>
      <c r="U34" s="3"/>
      <c r="V34" s="3"/>
      <c r="W34" s="3"/>
      <c r="X34" s="3"/>
      <c r="Y34" s="3"/>
      <c r="Z34" s="3"/>
      <c r="AA34" s="3"/>
      <c r="AB34" s="3"/>
      <c r="AC34" s="3"/>
      <c r="AD34" s="3"/>
      <c r="AE34" s="3">
        <v>2</v>
      </c>
      <c r="AF34" s="3"/>
      <c r="AG34" s="3"/>
      <c r="AH34" s="3">
        <v>2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1:52" ht="13" x14ac:dyDescent="0.3">
      <c r="A35" s="23" t="s">
        <v>475</v>
      </c>
      <c r="B35" s="20"/>
      <c r="C35" s="20"/>
      <c r="D35" s="20"/>
      <c r="E35" s="20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>
        <v>1</v>
      </c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2" ht="13" x14ac:dyDescent="0.3">
      <c r="A36" s="23" t="s">
        <v>227</v>
      </c>
      <c r="B36" s="20"/>
      <c r="C36" s="20"/>
      <c r="D36" s="20"/>
      <c r="E36" s="20"/>
      <c r="F36" s="3"/>
      <c r="G36" s="3"/>
      <c r="H36" s="3"/>
      <c r="I36" s="3"/>
      <c r="J36" s="3">
        <v>2</v>
      </c>
      <c r="K36" s="3"/>
      <c r="L36" s="3"/>
      <c r="M36" s="3"/>
      <c r="N36" s="3"/>
      <c r="O36" s="3"/>
      <c r="P36" s="3"/>
      <c r="Q36" s="3">
        <v>2</v>
      </c>
      <c r="R36" s="3">
        <v>2</v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>
        <v>2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1:52" ht="13" x14ac:dyDescent="0.3">
      <c r="A37" s="23" t="s">
        <v>228</v>
      </c>
      <c r="B37" s="20"/>
      <c r="C37" s="20"/>
      <c r="D37" s="20"/>
      <c r="E37" s="20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>
        <v>2</v>
      </c>
      <c r="AT37" s="3"/>
      <c r="AU37" s="3"/>
      <c r="AV37" s="3"/>
      <c r="AW37" s="3"/>
      <c r="AX37" s="3"/>
      <c r="AY37" s="3"/>
      <c r="AZ37" s="3"/>
    </row>
    <row r="38" spans="1:52" ht="13" x14ac:dyDescent="0.3">
      <c r="A38" s="23" t="s">
        <v>473</v>
      </c>
      <c r="B38" s="20"/>
      <c r="C38" s="20"/>
      <c r="D38" s="20"/>
      <c r="E38" s="20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>
        <v>1</v>
      </c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1:52" ht="13" x14ac:dyDescent="0.3">
      <c r="A39" s="23" t="s">
        <v>449</v>
      </c>
      <c r="B39" s="20"/>
      <c r="C39" s="20"/>
      <c r="D39" s="20"/>
      <c r="E39" s="20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1</v>
      </c>
      <c r="AD39" s="3">
        <v>1</v>
      </c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pans="1:52" ht="13" x14ac:dyDescent="0.3">
      <c r="A40" s="23" t="s">
        <v>229</v>
      </c>
      <c r="B40" s="20"/>
      <c r="C40" s="20"/>
      <c r="D40" s="20"/>
      <c r="E40" s="20"/>
      <c r="F40" s="3"/>
      <c r="G40" s="3"/>
      <c r="H40" s="3"/>
      <c r="I40" s="3"/>
      <c r="J40" s="3"/>
      <c r="K40" s="3"/>
      <c r="L40" s="3"/>
      <c r="M40" s="3"/>
      <c r="N40" s="3"/>
      <c r="O40" s="3">
        <v>2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>
        <v>2</v>
      </c>
      <c r="AT40" s="3"/>
      <c r="AU40" s="3"/>
      <c r="AV40" s="3"/>
      <c r="AW40" s="3"/>
      <c r="AX40" s="3"/>
      <c r="AY40" s="3"/>
      <c r="AZ40" s="3"/>
    </row>
    <row r="41" spans="1:52" ht="13" x14ac:dyDescent="0.3">
      <c r="A41" s="23" t="s">
        <v>230</v>
      </c>
      <c r="B41" s="20"/>
      <c r="C41" s="20"/>
      <c r="D41" s="20"/>
      <c r="E41" s="20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>
        <v>2</v>
      </c>
      <c r="AU41" s="3"/>
      <c r="AV41" s="3"/>
      <c r="AW41" s="3"/>
      <c r="AX41" s="3">
        <v>2</v>
      </c>
      <c r="AY41" s="3"/>
      <c r="AZ41" s="3"/>
    </row>
    <row r="42" spans="1:52" ht="13" x14ac:dyDescent="0.3">
      <c r="A42" s="23" t="s">
        <v>476</v>
      </c>
      <c r="B42" s="20"/>
      <c r="C42" s="20"/>
      <c r="D42" s="20"/>
      <c r="E42" s="20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>
        <v>1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1:52" ht="13" x14ac:dyDescent="0.3">
      <c r="A43" s="23" t="s">
        <v>439</v>
      </c>
      <c r="B43" s="20"/>
      <c r="C43" s="20"/>
      <c r="D43" s="20"/>
      <c r="E43" s="20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>
        <v>2</v>
      </c>
      <c r="AT43" s="3">
        <v>2</v>
      </c>
      <c r="AU43" s="3"/>
      <c r="AV43" s="3">
        <v>2</v>
      </c>
      <c r="AW43" s="3"/>
      <c r="AX43" s="3"/>
      <c r="AY43" s="3"/>
      <c r="AZ43" s="3"/>
    </row>
    <row r="44" spans="1:52" ht="13" x14ac:dyDescent="0.3">
      <c r="A44" s="23" t="s">
        <v>48</v>
      </c>
      <c r="B44" s="20"/>
      <c r="C44" s="20"/>
      <c r="D44" s="20"/>
      <c r="E44" s="20"/>
      <c r="F44" s="3"/>
      <c r="G44" s="3"/>
      <c r="H44" s="3"/>
      <c r="I44" s="3"/>
      <c r="J44" s="3">
        <v>2</v>
      </c>
      <c r="K44" s="3"/>
      <c r="L44" s="3"/>
      <c r="M44" s="3"/>
      <c r="N44" s="3"/>
      <c r="O44" s="3"/>
      <c r="P44" s="3"/>
      <c r="Q44" s="3"/>
      <c r="R44" s="3">
        <v>2</v>
      </c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2</v>
      </c>
      <c r="AD44" s="3">
        <v>2</v>
      </c>
      <c r="AE44" s="3"/>
      <c r="AF44" s="3"/>
      <c r="AG44" s="3">
        <v>2</v>
      </c>
      <c r="AH44" s="3">
        <v>2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</row>
    <row r="45" spans="1:52" ht="13" x14ac:dyDescent="0.3">
      <c r="A45" s="23" t="s">
        <v>375</v>
      </c>
      <c r="B45" s="20">
        <v>2</v>
      </c>
      <c r="C45" s="20"/>
      <c r="D45" s="20"/>
      <c r="E45" s="20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spans="1:52" ht="13" x14ac:dyDescent="0.3">
      <c r="A46" s="23" t="s">
        <v>432</v>
      </c>
      <c r="B46" s="20"/>
      <c r="C46" s="20"/>
      <c r="D46" s="20"/>
      <c r="E46" s="20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>
        <v>1</v>
      </c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</row>
    <row r="47" spans="1:52" ht="13" x14ac:dyDescent="0.3">
      <c r="A47" s="23" t="s">
        <v>231</v>
      </c>
      <c r="B47" s="20"/>
      <c r="C47" s="20"/>
      <c r="D47" s="20"/>
      <c r="E47" s="20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>
        <v>2</v>
      </c>
      <c r="AR47" s="3"/>
      <c r="AS47" s="3"/>
      <c r="AT47" s="3">
        <v>2</v>
      </c>
      <c r="AU47" s="3">
        <v>2</v>
      </c>
      <c r="AV47" s="3"/>
      <c r="AW47" s="3"/>
      <c r="AX47" s="3"/>
      <c r="AY47" s="3"/>
      <c r="AZ47" s="3">
        <v>2</v>
      </c>
    </row>
    <row r="48" spans="1:52" ht="13" x14ac:dyDescent="0.3">
      <c r="A48" s="23" t="s">
        <v>469</v>
      </c>
      <c r="B48" s="20"/>
      <c r="C48" s="20"/>
      <c r="D48" s="20"/>
      <c r="E48" s="20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>
        <v>1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</row>
    <row r="49" spans="1:52" ht="13" x14ac:dyDescent="0.3">
      <c r="A49" s="23" t="s">
        <v>49</v>
      </c>
      <c r="B49" s="20"/>
      <c r="C49" s="20"/>
      <c r="D49" s="20"/>
      <c r="E49" s="20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>
        <v>3</v>
      </c>
      <c r="Y49" s="3">
        <v>2</v>
      </c>
      <c r="Z49" s="3">
        <v>2</v>
      </c>
      <c r="AA49" s="3"/>
      <c r="AB49" s="3"/>
      <c r="AC49" s="3">
        <v>2</v>
      </c>
      <c r="AD49" s="3">
        <v>3</v>
      </c>
      <c r="AE49" s="3"/>
      <c r="AF49" s="3"/>
      <c r="AG49" s="3">
        <v>2</v>
      </c>
      <c r="AH49" s="3"/>
      <c r="AI49" s="3"/>
      <c r="AJ49" s="3"/>
      <c r="AK49" s="3">
        <v>2</v>
      </c>
      <c r="AL49" s="3"/>
      <c r="AM49" s="3"/>
      <c r="AN49" s="3"/>
      <c r="AO49" s="3"/>
      <c r="AP49" s="3"/>
      <c r="AQ49" s="3">
        <v>2</v>
      </c>
      <c r="AR49" s="3"/>
      <c r="AS49" s="3"/>
      <c r="AT49" s="3"/>
      <c r="AU49" s="3">
        <v>2</v>
      </c>
      <c r="AV49" s="3"/>
      <c r="AW49" s="3"/>
      <c r="AX49" s="3"/>
      <c r="AY49" s="3"/>
      <c r="AZ49" s="3"/>
    </row>
    <row r="50" spans="1:52" ht="13" x14ac:dyDescent="0.3">
      <c r="A50" s="23" t="s">
        <v>50</v>
      </c>
      <c r="B50" s="20">
        <v>2</v>
      </c>
      <c r="C50" s="20"/>
      <c r="D50" s="20"/>
      <c r="E50" s="20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>
        <v>2</v>
      </c>
      <c r="Z50" s="3">
        <v>2</v>
      </c>
      <c r="AA50" s="3"/>
      <c r="AB50" s="3"/>
      <c r="AC50" s="3">
        <v>2</v>
      </c>
      <c r="AD50" s="3">
        <v>2</v>
      </c>
      <c r="AE50" s="3"/>
      <c r="AF50" s="3"/>
      <c r="AG50" s="3">
        <v>2</v>
      </c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</row>
    <row r="51" spans="1:52" ht="13" x14ac:dyDescent="0.3">
      <c r="A51" s="23" t="s">
        <v>232</v>
      </c>
      <c r="B51" s="20"/>
      <c r="C51" s="20"/>
      <c r="D51" s="20"/>
      <c r="E51" s="20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>
        <v>2</v>
      </c>
      <c r="AV51" s="3"/>
      <c r="AW51" s="3"/>
      <c r="AX51" s="3">
        <v>2</v>
      </c>
      <c r="AY51" s="3"/>
      <c r="AZ51" s="3"/>
    </row>
    <row r="52" spans="1:52" ht="13" x14ac:dyDescent="0.3">
      <c r="A52" s="23" t="s">
        <v>430</v>
      </c>
      <c r="B52" s="20"/>
      <c r="C52" s="20"/>
      <c r="D52" s="20"/>
      <c r="E52" s="20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>
        <v>1</v>
      </c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</row>
    <row r="53" spans="1:52" ht="13" x14ac:dyDescent="0.3">
      <c r="A53" s="23" t="s">
        <v>233</v>
      </c>
      <c r="B53" s="20"/>
      <c r="C53" s="20"/>
      <c r="D53" s="20"/>
      <c r="E53" s="20"/>
      <c r="F53" s="3">
        <v>2</v>
      </c>
      <c r="G53" s="3"/>
      <c r="H53" s="3">
        <v>3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>
        <v>2</v>
      </c>
      <c r="AT53" s="3">
        <v>2</v>
      </c>
      <c r="AU53" s="3"/>
      <c r="AV53" s="3"/>
      <c r="AW53" s="3">
        <v>2</v>
      </c>
      <c r="AX53" s="3">
        <v>1</v>
      </c>
      <c r="AY53" s="3"/>
      <c r="AZ53" s="3"/>
    </row>
    <row r="54" spans="1:52" ht="13" x14ac:dyDescent="0.3">
      <c r="A54" s="23" t="s">
        <v>234</v>
      </c>
      <c r="B54" s="20"/>
      <c r="C54" s="20"/>
      <c r="D54" s="20"/>
      <c r="E54" s="20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>
        <v>2</v>
      </c>
      <c r="Z54" s="3">
        <v>2</v>
      </c>
      <c r="AA54" s="3"/>
      <c r="AB54" s="3"/>
      <c r="AC54" s="3">
        <v>2</v>
      </c>
      <c r="AD54" s="3">
        <v>2</v>
      </c>
      <c r="AE54" s="3"/>
      <c r="AF54" s="3"/>
      <c r="AG54" s="3">
        <v>2</v>
      </c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</row>
    <row r="55" spans="1:52" ht="13" x14ac:dyDescent="0.3">
      <c r="A55" s="23" t="s">
        <v>51</v>
      </c>
      <c r="B55" s="20">
        <v>3</v>
      </c>
      <c r="C55" s="20"/>
      <c r="D55" s="20"/>
      <c r="E55" s="20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>
        <v>2</v>
      </c>
      <c r="S55" s="3"/>
      <c r="T55" s="3"/>
      <c r="U55" s="3"/>
      <c r="V55" s="3"/>
      <c r="W55" s="3">
        <v>2</v>
      </c>
      <c r="X55" s="3"/>
      <c r="Y55" s="3">
        <v>3</v>
      </c>
      <c r="Z55" s="3">
        <v>2</v>
      </c>
      <c r="AA55" s="3">
        <v>3</v>
      </c>
      <c r="AB55" s="3">
        <v>2</v>
      </c>
      <c r="AC55" s="3">
        <v>2</v>
      </c>
      <c r="AD55" s="3">
        <v>2</v>
      </c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</row>
    <row r="56" spans="1:52" ht="13" x14ac:dyDescent="0.3">
      <c r="A56" s="23" t="s">
        <v>435</v>
      </c>
      <c r="B56" s="20"/>
      <c r="C56" s="20"/>
      <c r="D56" s="20"/>
      <c r="E56" s="20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>
        <v>1</v>
      </c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</row>
    <row r="57" spans="1:52" ht="13" x14ac:dyDescent="0.3">
      <c r="A57" s="23" t="s">
        <v>52</v>
      </c>
      <c r="B57" s="20"/>
      <c r="C57" s="20"/>
      <c r="D57" s="20"/>
      <c r="E57" s="20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>
        <v>2</v>
      </c>
      <c r="AA57" s="3"/>
      <c r="AB57" s="3">
        <v>2</v>
      </c>
      <c r="AC57" s="3"/>
      <c r="AD57" s="3"/>
      <c r="AE57" s="3"/>
      <c r="AF57" s="3"/>
      <c r="AG57" s="3"/>
      <c r="AH57" s="3"/>
      <c r="AI57" s="3"/>
      <c r="AJ57" s="3"/>
      <c r="AK57" s="3"/>
      <c r="AL57" s="3">
        <v>2</v>
      </c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</row>
    <row r="58" spans="1:52" ht="13" x14ac:dyDescent="0.3">
      <c r="A58" s="23" t="s">
        <v>235</v>
      </c>
      <c r="B58" s="20"/>
      <c r="C58" s="20"/>
      <c r="D58" s="20"/>
      <c r="E58" s="20"/>
      <c r="F58" s="3"/>
      <c r="G58" s="3"/>
      <c r="H58" s="3"/>
      <c r="I58" s="3"/>
      <c r="J58" s="3"/>
      <c r="K58" s="3"/>
      <c r="L58" s="3"/>
      <c r="M58" s="3"/>
      <c r="N58" s="3"/>
      <c r="O58" s="3">
        <v>2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>
        <v>2</v>
      </c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</row>
    <row r="59" spans="1:52" ht="13" x14ac:dyDescent="0.3">
      <c r="A59" s="23" t="s">
        <v>53</v>
      </c>
      <c r="B59" s="20"/>
      <c r="C59" s="20"/>
      <c r="D59" s="20"/>
      <c r="E59" s="20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>
        <v>2</v>
      </c>
      <c r="Z59" s="3">
        <v>2</v>
      </c>
      <c r="AA59" s="3"/>
      <c r="AB59" s="3"/>
      <c r="AC59" s="3">
        <v>3</v>
      </c>
      <c r="AD59" s="3">
        <v>3</v>
      </c>
      <c r="AE59" s="3"/>
      <c r="AF59" s="3"/>
      <c r="AG59" s="3">
        <v>2</v>
      </c>
      <c r="AH59" s="3"/>
      <c r="AI59" s="3"/>
      <c r="AJ59" s="3"/>
      <c r="AK59" s="3">
        <v>2</v>
      </c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</row>
    <row r="60" spans="1:52" ht="13" x14ac:dyDescent="0.3">
      <c r="A60" s="23" t="s">
        <v>236</v>
      </c>
      <c r="B60" s="20"/>
      <c r="C60" s="20"/>
      <c r="D60" s="20"/>
      <c r="E60" s="20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2</v>
      </c>
      <c r="AY60" s="3"/>
      <c r="AZ60" s="3"/>
    </row>
    <row r="61" spans="1:52" ht="13" x14ac:dyDescent="0.3">
      <c r="A61" s="23" t="s">
        <v>54</v>
      </c>
      <c r="B61" s="20"/>
      <c r="C61" s="20"/>
      <c r="D61" s="20"/>
      <c r="E61" s="20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>
        <v>2</v>
      </c>
      <c r="X61" s="3"/>
      <c r="Y61" s="3">
        <v>3</v>
      </c>
      <c r="Z61" s="3">
        <v>3</v>
      </c>
      <c r="AA61" s="3">
        <v>3</v>
      </c>
      <c r="AB61" s="3">
        <v>3</v>
      </c>
      <c r="AC61" s="3">
        <v>3</v>
      </c>
      <c r="AD61" s="3">
        <v>3</v>
      </c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</row>
    <row r="62" spans="1:52" ht="13" x14ac:dyDescent="0.3">
      <c r="A62" s="23" t="s">
        <v>413</v>
      </c>
      <c r="B62" s="20"/>
      <c r="C62" s="20"/>
      <c r="D62" s="20"/>
      <c r="E62" s="20"/>
      <c r="F62" s="3"/>
      <c r="G62" s="3"/>
      <c r="H62" s="3"/>
      <c r="I62" s="3"/>
      <c r="J62" s="3"/>
      <c r="K62" s="3"/>
      <c r="L62" s="3"/>
      <c r="M62" s="3"/>
      <c r="N62" s="3"/>
      <c r="O62" s="3"/>
      <c r="P62" s="3">
        <v>2</v>
      </c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</row>
    <row r="63" spans="1:52" ht="13" x14ac:dyDescent="0.3">
      <c r="A63" s="23" t="s">
        <v>237</v>
      </c>
      <c r="B63" s="20"/>
      <c r="C63" s="20"/>
      <c r="D63" s="20"/>
      <c r="E63" s="20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>
        <v>2</v>
      </c>
      <c r="AT63" s="3">
        <v>2</v>
      </c>
      <c r="AU63" s="3"/>
      <c r="AV63" s="3"/>
      <c r="AW63" s="3"/>
      <c r="AX63" s="3"/>
      <c r="AY63" s="3"/>
      <c r="AZ63" s="3"/>
    </row>
    <row r="64" spans="1:52" ht="13" x14ac:dyDescent="0.3">
      <c r="A64" s="23" t="s">
        <v>238</v>
      </c>
      <c r="B64" s="20"/>
      <c r="C64" s="20"/>
      <c r="D64" s="20"/>
      <c r="E64" s="20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2</v>
      </c>
      <c r="AD64" s="3">
        <v>2</v>
      </c>
      <c r="AE64" s="3"/>
      <c r="AF64" s="3"/>
      <c r="AG64" s="3">
        <v>2</v>
      </c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>
        <v>2</v>
      </c>
      <c r="AT64" s="3"/>
      <c r="AU64" s="3"/>
      <c r="AV64" s="3"/>
      <c r="AW64" s="3"/>
      <c r="AX64" s="3"/>
      <c r="AY64" s="3"/>
      <c r="AZ64" s="3"/>
    </row>
    <row r="65" spans="1:52" ht="13" x14ac:dyDescent="0.3">
      <c r="A65" s="23" t="s">
        <v>57</v>
      </c>
      <c r="B65" s="20"/>
      <c r="C65" s="20"/>
      <c r="D65" s="20"/>
      <c r="E65" s="20"/>
      <c r="F65" s="3"/>
      <c r="G65" s="3"/>
      <c r="H65" s="3"/>
      <c r="I65" s="3"/>
      <c r="J65" s="3">
        <v>2</v>
      </c>
      <c r="K65" s="3"/>
      <c r="L65" s="3"/>
      <c r="M65" s="3"/>
      <c r="N65" s="3"/>
      <c r="O65" s="3"/>
      <c r="P65" s="3"/>
      <c r="Q65" s="3"/>
      <c r="R65" s="3">
        <v>2</v>
      </c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>
        <v>3</v>
      </c>
      <c r="AE65" s="3"/>
      <c r="AF65" s="3"/>
      <c r="AG65" s="3"/>
      <c r="AH65" s="3">
        <v>2</v>
      </c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</row>
    <row r="66" spans="1:52" ht="13" x14ac:dyDescent="0.3">
      <c r="A66" s="23" t="s">
        <v>58</v>
      </c>
      <c r="B66" s="20"/>
      <c r="C66" s="20"/>
      <c r="D66" s="20"/>
      <c r="E66" s="20"/>
      <c r="F66" s="3"/>
      <c r="G66" s="3"/>
      <c r="H66" s="3"/>
      <c r="I66" s="3"/>
      <c r="J66" s="3">
        <v>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3</v>
      </c>
      <c r="V66" s="3">
        <v>3</v>
      </c>
      <c r="W66" s="3"/>
      <c r="X66" s="3"/>
      <c r="Y66" s="3"/>
      <c r="Z66" s="3"/>
      <c r="AA66" s="3"/>
      <c r="AB66" s="3"/>
      <c r="AC66" s="3">
        <v>2</v>
      </c>
      <c r="AD66" s="3">
        <v>2</v>
      </c>
      <c r="AE66" s="3"/>
      <c r="AF66" s="3"/>
      <c r="AG66" s="3">
        <v>1</v>
      </c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</row>
    <row r="67" spans="1:52" ht="13" x14ac:dyDescent="0.3">
      <c r="A67" s="23" t="s">
        <v>239</v>
      </c>
      <c r="B67" s="20">
        <v>2</v>
      </c>
      <c r="C67" s="20"/>
      <c r="D67" s="20"/>
      <c r="E67" s="20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>
        <v>1</v>
      </c>
      <c r="Y67" s="3"/>
      <c r="Z67" s="3"/>
      <c r="AA67" s="3"/>
      <c r="AB67" s="3"/>
      <c r="AC67" s="3"/>
      <c r="AD67" s="3"/>
      <c r="AE67" s="3"/>
      <c r="AF67" s="3"/>
      <c r="AG67" s="3">
        <v>2</v>
      </c>
      <c r="AH67" s="3"/>
      <c r="AI67" s="3"/>
      <c r="AJ67" s="3"/>
      <c r="AK67" s="3">
        <v>2</v>
      </c>
      <c r="AL67" s="3">
        <v>2</v>
      </c>
      <c r="AM67" s="3"/>
      <c r="AN67" s="3">
        <v>2</v>
      </c>
      <c r="AO67" s="3">
        <v>1</v>
      </c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  <row r="68" spans="1:52" ht="13" x14ac:dyDescent="0.3">
      <c r="A68" s="23" t="s">
        <v>240</v>
      </c>
      <c r="B68" s="20"/>
      <c r="C68" s="20"/>
      <c r="D68" s="20"/>
      <c r="E68" s="20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>
        <v>2</v>
      </c>
      <c r="Z68" s="3"/>
      <c r="AA68" s="3">
        <v>2</v>
      </c>
      <c r="AB68" s="3">
        <v>2</v>
      </c>
      <c r="AC68" s="3">
        <v>2</v>
      </c>
      <c r="AD68" s="3">
        <v>2</v>
      </c>
      <c r="AE68" s="3"/>
      <c r="AF68" s="3"/>
      <c r="AG68" s="3"/>
      <c r="AH68" s="3"/>
      <c r="AI68" s="3"/>
      <c r="AJ68" s="3"/>
      <c r="AK68" s="3"/>
      <c r="AL68" s="3"/>
      <c r="AM68" s="3"/>
      <c r="AN68" s="3">
        <v>2</v>
      </c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 ht="13" x14ac:dyDescent="0.3">
      <c r="A69" s="23" t="s">
        <v>59</v>
      </c>
      <c r="B69" s="20">
        <v>2</v>
      </c>
      <c r="C69" s="20"/>
      <c r="D69" s="20"/>
      <c r="E69" s="20"/>
      <c r="F69" s="3">
        <v>2</v>
      </c>
      <c r="G69" s="3"/>
      <c r="H69" s="3">
        <v>2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2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>
        <v>2</v>
      </c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</row>
    <row r="70" spans="1:52" ht="13" x14ac:dyDescent="0.3">
      <c r="A70" s="23" t="s">
        <v>441</v>
      </c>
      <c r="B70" s="20"/>
      <c r="C70" s="20"/>
      <c r="D70" s="20"/>
      <c r="E70" s="20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1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</row>
    <row r="71" spans="1:52" ht="13" x14ac:dyDescent="0.3">
      <c r="A71" s="23" t="s">
        <v>241</v>
      </c>
      <c r="B71" s="20"/>
      <c r="C71" s="20"/>
      <c r="D71" s="20"/>
      <c r="E71" s="20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2</v>
      </c>
      <c r="AY71" s="3"/>
      <c r="AZ71" s="3"/>
    </row>
    <row r="72" spans="1:52" ht="13" x14ac:dyDescent="0.3">
      <c r="A72" s="23" t="s">
        <v>242</v>
      </c>
      <c r="B72" s="20"/>
      <c r="C72" s="20"/>
      <c r="D72" s="20"/>
      <c r="E72" s="20"/>
      <c r="F72" s="3"/>
      <c r="G72" s="3"/>
      <c r="H72" s="3"/>
      <c r="I72" s="3"/>
      <c r="J72" s="3">
        <v>2</v>
      </c>
      <c r="K72" s="3"/>
      <c r="L72" s="3"/>
      <c r="M72" s="3"/>
      <c r="N72" s="3"/>
      <c r="O72" s="3"/>
      <c r="P72" s="3">
        <v>2</v>
      </c>
      <c r="Q72" s="3"/>
      <c r="R72" s="3">
        <v>2</v>
      </c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>
        <v>2</v>
      </c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</row>
    <row r="73" spans="1:52" ht="13" x14ac:dyDescent="0.3">
      <c r="A73" s="23" t="s">
        <v>434</v>
      </c>
      <c r="B73" s="20"/>
      <c r="C73" s="20"/>
      <c r="D73" s="20"/>
      <c r="E73" s="20"/>
      <c r="F73" s="3">
        <v>2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</row>
    <row r="74" spans="1:52" ht="13" x14ac:dyDescent="0.3">
      <c r="A74" s="23" t="s">
        <v>60</v>
      </c>
      <c r="B74" s="20">
        <v>2</v>
      </c>
      <c r="C74" s="20"/>
      <c r="D74" s="20"/>
      <c r="E74" s="20"/>
      <c r="F74" s="3"/>
      <c r="G74" s="3"/>
      <c r="H74" s="3"/>
      <c r="I74" s="3"/>
      <c r="J74" s="3"/>
      <c r="K74" s="3"/>
      <c r="L74" s="3">
        <v>2</v>
      </c>
      <c r="M74" s="3"/>
      <c r="N74" s="3"/>
      <c r="O74" s="3"/>
      <c r="P74" s="3"/>
      <c r="Q74" s="3"/>
      <c r="R74" s="3"/>
      <c r="S74" s="3"/>
      <c r="T74" s="3"/>
      <c r="U74" s="3">
        <v>2</v>
      </c>
      <c r="V74" s="3">
        <v>2</v>
      </c>
      <c r="W74" s="3"/>
      <c r="X74" s="3"/>
      <c r="Y74" s="3">
        <v>2</v>
      </c>
      <c r="Z74" s="3"/>
      <c r="AA74" s="3"/>
      <c r="AB74" s="3"/>
      <c r="AC74" s="3"/>
      <c r="AD74" s="3"/>
      <c r="AE74" s="3">
        <v>2</v>
      </c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>
        <v>1</v>
      </c>
      <c r="AR74" s="3">
        <v>1</v>
      </c>
      <c r="AS74" s="3">
        <v>1</v>
      </c>
      <c r="AT74" s="3">
        <v>1</v>
      </c>
      <c r="AU74" s="3">
        <v>1</v>
      </c>
      <c r="AV74" s="3"/>
      <c r="AW74" s="3"/>
      <c r="AX74" s="3"/>
      <c r="AY74" s="3"/>
      <c r="AZ74" s="3"/>
    </row>
    <row r="75" spans="1:52" ht="13" x14ac:dyDescent="0.3">
      <c r="A75" s="23" t="s">
        <v>243</v>
      </c>
      <c r="B75" s="20"/>
      <c r="C75" s="20"/>
      <c r="D75" s="20"/>
      <c r="E75" s="20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>
        <v>1</v>
      </c>
      <c r="AB75" s="3">
        <v>1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>
        <v>2</v>
      </c>
      <c r="AR75" s="3"/>
      <c r="AS75" s="3"/>
      <c r="AT75" s="3"/>
      <c r="AU75" s="3"/>
      <c r="AV75" s="3"/>
      <c r="AW75" s="3">
        <v>2</v>
      </c>
      <c r="AX75" s="3">
        <v>2</v>
      </c>
      <c r="AY75" s="3"/>
      <c r="AZ75" s="3"/>
    </row>
    <row r="76" spans="1:52" ht="13" x14ac:dyDescent="0.3">
      <c r="A76" s="23" t="s">
        <v>400</v>
      </c>
      <c r="B76" s="20"/>
      <c r="C76" s="20"/>
      <c r="D76" s="20"/>
      <c r="E76" s="20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>
        <v>2</v>
      </c>
      <c r="AM76" s="3"/>
      <c r="AN76" s="3">
        <v>2</v>
      </c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</row>
    <row r="77" spans="1:52" ht="13" x14ac:dyDescent="0.3">
      <c r="A77" s="23" t="s">
        <v>374</v>
      </c>
      <c r="B77" s="20"/>
      <c r="C77" s="20"/>
      <c r="D77" s="20"/>
      <c r="E77" s="20"/>
      <c r="F77" s="3"/>
      <c r="G77" s="3"/>
      <c r="H77" s="3"/>
      <c r="I77" s="3"/>
      <c r="J77" s="3">
        <v>2</v>
      </c>
      <c r="K77" s="3"/>
      <c r="L77" s="3"/>
      <c r="M77" s="3"/>
      <c r="N77" s="3"/>
      <c r="O77" s="3"/>
      <c r="P77" s="3"/>
      <c r="Q77" s="3">
        <v>2</v>
      </c>
      <c r="R77" s="3">
        <v>2</v>
      </c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>
        <v>2</v>
      </c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>
        <v>2</v>
      </c>
      <c r="AV77" s="3"/>
      <c r="AW77" s="3">
        <v>2</v>
      </c>
      <c r="AX77" s="3"/>
      <c r="AY77" s="3"/>
      <c r="AZ77" s="3"/>
    </row>
    <row r="78" spans="1:52" ht="13" x14ac:dyDescent="0.3">
      <c r="A78" s="23" t="s">
        <v>437</v>
      </c>
      <c r="B78" s="20"/>
      <c r="C78" s="20"/>
      <c r="D78" s="20"/>
      <c r="E78" s="20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>
        <v>1</v>
      </c>
      <c r="AO78" s="3">
        <v>1</v>
      </c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</row>
    <row r="79" spans="1:52" ht="13" x14ac:dyDescent="0.3">
      <c r="A79" s="23" t="s">
        <v>244</v>
      </c>
      <c r="B79" s="20"/>
      <c r="C79" s="20"/>
      <c r="D79" s="20"/>
      <c r="E79" s="20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2</v>
      </c>
      <c r="AD79" s="3">
        <v>2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>
        <v>2</v>
      </c>
      <c r="AT79" s="3">
        <v>2</v>
      </c>
      <c r="AU79" s="3"/>
      <c r="AV79" s="3"/>
      <c r="AW79" s="3"/>
      <c r="AX79" s="3"/>
      <c r="AY79" s="3"/>
      <c r="AZ79" s="3"/>
    </row>
    <row r="80" spans="1:52" ht="13" x14ac:dyDescent="0.3">
      <c r="A80" s="23" t="s">
        <v>245</v>
      </c>
      <c r="B80" s="20"/>
      <c r="C80" s="20"/>
      <c r="D80" s="20">
        <v>1</v>
      </c>
      <c r="E80" s="20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1:52" ht="13" x14ac:dyDescent="0.3">
      <c r="A81" s="23" t="s">
        <v>61</v>
      </c>
      <c r="B81" s="20">
        <v>2</v>
      </c>
      <c r="C81" s="20"/>
      <c r="D81" s="20"/>
      <c r="E81" s="20"/>
      <c r="F81" s="3"/>
      <c r="G81" s="3">
        <v>2</v>
      </c>
      <c r="H81" s="3"/>
      <c r="I81" s="3">
        <v>2</v>
      </c>
      <c r="J81" s="3"/>
      <c r="K81" s="3"/>
      <c r="L81" s="3"/>
      <c r="M81" s="3"/>
      <c r="N81" s="3"/>
      <c r="O81" s="3"/>
      <c r="P81" s="3"/>
      <c r="Q81" s="3"/>
      <c r="R81" s="3">
        <v>2</v>
      </c>
      <c r="S81" s="3">
        <v>3</v>
      </c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>
        <v>2</v>
      </c>
      <c r="AI81" s="3"/>
      <c r="AJ81" s="3"/>
      <c r="AK81" s="3"/>
      <c r="AL81" s="3"/>
      <c r="AM81" s="3"/>
      <c r="AN81" s="3">
        <v>2</v>
      </c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</row>
    <row r="82" spans="1:52" ht="13" x14ac:dyDescent="0.3">
      <c r="A82" s="23" t="s">
        <v>246</v>
      </c>
      <c r="B82" s="20">
        <v>2</v>
      </c>
      <c r="C82" s="20"/>
      <c r="D82" s="20"/>
      <c r="E82" s="20"/>
      <c r="F82" s="3"/>
      <c r="G82" s="3"/>
      <c r="H82" s="3"/>
      <c r="I82" s="3"/>
      <c r="J82" s="3">
        <v>2</v>
      </c>
      <c r="K82" s="3"/>
      <c r="L82" s="3"/>
      <c r="M82" s="3"/>
      <c r="N82" s="3"/>
      <c r="O82" s="3"/>
      <c r="P82" s="3"/>
      <c r="Q82" s="3">
        <v>2</v>
      </c>
      <c r="R82" s="3">
        <v>2</v>
      </c>
      <c r="S82" s="3"/>
      <c r="T82" s="3"/>
      <c r="U82" s="3"/>
      <c r="V82" s="3">
        <v>2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>
        <v>2</v>
      </c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</row>
    <row r="83" spans="1:52" ht="13" x14ac:dyDescent="0.3">
      <c r="A83" s="23" t="s">
        <v>418</v>
      </c>
      <c r="B83" s="20"/>
      <c r="C83" s="20"/>
      <c r="D83" s="20"/>
      <c r="E83" s="20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1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</row>
    <row r="84" spans="1:52" ht="13" x14ac:dyDescent="0.3">
      <c r="A84" s="23" t="s">
        <v>247</v>
      </c>
      <c r="B84" s="20"/>
      <c r="C84" s="20"/>
      <c r="D84" s="20"/>
      <c r="E84" s="20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>
        <v>2</v>
      </c>
      <c r="AR84" s="3"/>
      <c r="AS84" s="3">
        <v>1</v>
      </c>
      <c r="AT84" s="3"/>
      <c r="AU84" s="3"/>
      <c r="AV84" s="3"/>
      <c r="AW84" s="3"/>
      <c r="AX84" s="3"/>
      <c r="AY84" s="3"/>
      <c r="AZ84" s="3">
        <v>2</v>
      </c>
    </row>
    <row r="85" spans="1:52" ht="13" x14ac:dyDescent="0.3">
      <c r="A85" s="23" t="s">
        <v>448</v>
      </c>
      <c r="B85" s="20"/>
      <c r="C85" s="20"/>
      <c r="D85" s="20"/>
      <c r="E85" s="20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1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</row>
    <row r="86" spans="1:52" ht="13" x14ac:dyDescent="0.3">
      <c r="A86" s="23" t="s">
        <v>411</v>
      </c>
      <c r="B86" s="20"/>
      <c r="C86" s="20"/>
      <c r="D86" s="20"/>
      <c r="E86" s="20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>
        <v>2</v>
      </c>
      <c r="AH86" s="3"/>
      <c r="AI86" s="3"/>
      <c r="AJ86" s="3"/>
      <c r="AK86" s="3">
        <v>2</v>
      </c>
      <c r="AL86" s="3"/>
      <c r="AM86" s="3"/>
      <c r="AN86" s="3">
        <v>2</v>
      </c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1:52" ht="13" x14ac:dyDescent="0.3">
      <c r="A87" s="23" t="s">
        <v>62</v>
      </c>
      <c r="B87" s="20">
        <v>2</v>
      </c>
      <c r="C87" s="20"/>
      <c r="D87" s="20"/>
      <c r="E87" s="20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>
        <v>3</v>
      </c>
      <c r="AE87" s="3"/>
      <c r="AF87" s="3"/>
      <c r="AG87" s="3">
        <v>3</v>
      </c>
      <c r="AH87" s="3"/>
      <c r="AI87" s="3"/>
      <c r="AJ87" s="3"/>
      <c r="AK87" s="3">
        <v>3</v>
      </c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</row>
    <row r="88" spans="1:52" ht="13" x14ac:dyDescent="0.3">
      <c r="A88" s="23" t="s">
        <v>386</v>
      </c>
      <c r="B88" s="20"/>
      <c r="C88" s="20"/>
      <c r="D88" s="20"/>
      <c r="E88" s="20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2</v>
      </c>
    </row>
    <row r="89" spans="1:52" ht="13" x14ac:dyDescent="0.3">
      <c r="A89" s="23" t="s">
        <v>248</v>
      </c>
      <c r="B89" s="20">
        <v>3</v>
      </c>
      <c r="C89" s="20"/>
      <c r="D89" s="20"/>
      <c r="E89" s="20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>
        <v>2</v>
      </c>
      <c r="AA89" s="3">
        <v>2</v>
      </c>
      <c r="AB89" s="3">
        <v>2</v>
      </c>
      <c r="AC89" s="3">
        <v>2</v>
      </c>
      <c r="AD89" s="3">
        <v>2</v>
      </c>
      <c r="AE89" s="3"/>
      <c r="AF89" s="3"/>
      <c r="AG89" s="3"/>
      <c r="AH89" s="3"/>
      <c r="AI89" s="3"/>
      <c r="AJ89" s="3"/>
      <c r="AK89" s="3"/>
      <c r="AL89" s="3"/>
      <c r="AM89" s="3"/>
      <c r="AN89" s="3">
        <v>2</v>
      </c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</row>
    <row r="90" spans="1:52" ht="13" x14ac:dyDescent="0.3">
      <c r="A90" s="23" t="s">
        <v>63</v>
      </c>
      <c r="B90" s="20"/>
      <c r="C90" s="20"/>
      <c r="D90" s="20"/>
      <c r="E90" s="20"/>
      <c r="F90" s="3"/>
      <c r="G90" s="3"/>
      <c r="H90" s="3"/>
      <c r="I90" s="3">
        <v>1</v>
      </c>
      <c r="J90" s="3"/>
      <c r="K90" s="3"/>
      <c r="L90" s="3"/>
      <c r="M90" s="3"/>
      <c r="N90" s="3"/>
      <c r="O90" s="3"/>
      <c r="P90" s="3"/>
      <c r="Q90" s="3"/>
      <c r="R90" s="3"/>
      <c r="S90" s="3">
        <v>3</v>
      </c>
      <c r="T90" s="3"/>
      <c r="U90" s="3"/>
      <c r="V90" s="3"/>
      <c r="W90" s="3"/>
      <c r="X90" s="3"/>
      <c r="Y90" s="3">
        <v>2</v>
      </c>
      <c r="Z90" s="3">
        <v>2</v>
      </c>
      <c r="AA90" s="3">
        <v>2</v>
      </c>
      <c r="AB90" s="3">
        <v>2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>
        <v>1</v>
      </c>
      <c r="AT90" s="3"/>
      <c r="AU90" s="3"/>
      <c r="AV90" s="3"/>
      <c r="AW90" s="3"/>
      <c r="AX90" s="3"/>
      <c r="AY90" s="3"/>
      <c r="AZ90" s="3"/>
    </row>
    <row r="91" spans="1:52" ht="13" x14ac:dyDescent="0.3">
      <c r="A91" s="23" t="s">
        <v>64</v>
      </c>
      <c r="B91" s="20">
        <v>3</v>
      </c>
      <c r="C91" s="20"/>
      <c r="D91" s="20"/>
      <c r="E91" s="20"/>
      <c r="F91" s="3"/>
      <c r="G91" s="3"/>
      <c r="H91" s="3">
        <v>2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>
        <v>3</v>
      </c>
      <c r="Z91" s="3">
        <v>3</v>
      </c>
      <c r="AA91" s="3">
        <v>2</v>
      </c>
      <c r="AB91" s="3">
        <v>2</v>
      </c>
      <c r="AC91" s="3">
        <v>3</v>
      </c>
      <c r="AD91" s="3">
        <v>3</v>
      </c>
      <c r="AE91" s="3"/>
      <c r="AF91" s="3"/>
      <c r="AG91" s="3">
        <v>2</v>
      </c>
      <c r="AH91" s="3"/>
      <c r="AI91" s="3"/>
      <c r="AJ91" s="3"/>
      <c r="AK91" s="3">
        <v>2</v>
      </c>
      <c r="AL91" s="3"/>
      <c r="AM91" s="3"/>
      <c r="AN91" s="3">
        <v>2</v>
      </c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</row>
    <row r="92" spans="1:52" ht="13" x14ac:dyDescent="0.3">
      <c r="A92" s="23" t="s">
        <v>249</v>
      </c>
      <c r="B92" s="20"/>
      <c r="C92" s="20"/>
      <c r="D92" s="20"/>
      <c r="E92" s="20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>
        <v>2</v>
      </c>
      <c r="AH92" s="3"/>
      <c r="AI92" s="3"/>
      <c r="AJ92" s="3"/>
      <c r="AK92" s="3">
        <v>2</v>
      </c>
      <c r="AL92" s="3"/>
      <c r="AM92" s="3"/>
      <c r="AN92" s="3">
        <v>2</v>
      </c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</row>
    <row r="93" spans="1:52" ht="13" x14ac:dyDescent="0.3">
      <c r="A93" s="23" t="s">
        <v>65</v>
      </c>
      <c r="B93" s="20"/>
      <c r="C93" s="20"/>
      <c r="D93" s="20">
        <v>2</v>
      </c>
      <c r="E93" s="20">
        <v>1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>
        <v>2</v>
      </c>
      <c r="AM93" s="3"/>
      <c r="AN93" s="3">
        <v>2</v>
      </c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</row>
    <row r="94" spans="1:52" ht="13" x14ac:dyDescent="0.3">
      <c r="A94" s="23" t="s">
        <v>451</v>
      </c>
      <c r="B94" s="20"/>
      <c r="C94" s="20"/>
      <c r="D94" s="20"/>
      <c r="E94" s="20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>
        <v>1</v>
      </c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</row>
    <row r="95" spans="1:52" ht="13" x14ac:dyDescent="0.3">
      <c r="A95" s="23" t="s">
        <v>66</v>
      </c>
      <c r="B95" s="20"/>
      <c r="C95" s="20"/>
      <c r="D95" s="20"/>
      <c r="E95" s="20"/>
      <c r="F95" s="3"/>
      <c r="G95" s="3">
        <v>2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>
        <v>3</v>
      </c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</row>
    <row r="96" spans="1:52" ht="13" x14ac:dyDescent="0.3">
      <c r="A96" s="23" t="s">
        <v>250</v>
      </c>
      <c r="B96" s="20"/>
      <c r="C96" s="20"/>
      <c r="D96" s="20"/>
      <c r="E96" s="20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>
        <v>2</v>
      </c>
      <c r="AT96" s="3">
        <v>2</v>
      </c>
      <c r="AU96" s="3">
        <v>2</v>
      </c>
      <c r="AV96" s="3">
        <v>2</v>
      </c>
      <c r="AW96" s="3">
        <v>2</v>
      </c>
      <c r="AX96" s="3"/>
      <c r="AY96" s="3"/>
      <c r="AZ96" s="3"/>
    </row>
    <row r="97" spans="1:52" ht="13" x14ac:dyDescent="0.3">
      <c r="A97" s="23" t="s">
        <v>443</v>
      </c>
      <c r="B97" s="20"/>
      <c r="C97" s="20"/>
      <c r="D97" s="20"/>
      <c r="E97" s="20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1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</row>
    <row r="98" spans="1:52" ht="13" x14ac:dyDescent="0.3">
      <c r="A98" s="23" t="s">
        <v>251</v>
      </c>
      <c r="B98" s="20"/>
      <c r="C98" s="20"/>
      <c r="D98" s="20"/>
      <c r="E98" s="20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>
        <v>2</v>
      </c>
      <c r="AT98" s="3"/>
      <c r="AU98" s="3"/>
      <c r="AV98" s="3"/>
      <c r="AW98" s="3">
        <v>2</v>
      </c>
      <c r="AX98" s="3"/>
      <c r="AY98" s="3"/>
      <c r="AZ98" s="3"/>
    </row>
    <row r="99" spans="1:52" ht="13" x14ac:dyDescent="0.3">
      <c r="A99" s="23" t="s">
        <v>252</v>
      </c>
      <c r="B99" s="20">
        <v>3</v>
      </c>
      <c r="C99" s="20">
        <v>3</v>
      </c>
      <c r="D99" s="20">
        <v>3</v>
      </c>
      <c r="E99" s="20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</row>
    <row r="100" spans="1:52" ht="13" x14ac:dyDescent="0.3">
      <c r="A100" s="23" t="s">
        <v>67</v>
      </c>
      <c r="B100" s="20"/>
      <c r="C100" s="20"/>
      <c r="D100" s="20"/>
      <c r="E100" s="20"/>
      <c r="F100" s="3">
        <v>3</v>
      </c>
      <c r="G100" s="3"/>
      <c r="H100" s="3">
        <v>3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>
        <v>2</v>
      </c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>
        <v>2</v>
      </c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</row>
    <row r="101" spans="1:52" ht="13" x14ac:dyDescent="0.3">
      <c r="A101" s="23" t="s">
        <v>253</v>
      </c>
      <c r="B101" s="20"/>
      <c r="C101" s="20"/>
      <c r="D101" s="20"/>
      <c r="E101" s="20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>
        <v>2</v>
      </c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>
        <v>2</v>
      </c>
      <c r="AR101" s="3"/>
      <c r="AS101" s="3">
        <v>2</v>
      </c>
      <c r="AT101" s="3">
        <v>2</v>
      </c>
      <c r="AU101" s="3"/>
      <c r="AV101" s="3"/>
      <c r="AW101" s="3">
        <v>2</v>
      </c>
      <c r="AX101" s="3"/>
      <c r="AY101" s="3"/>
      <c r="AZ101" s="3"/>
    </row>
    <row r="102" spans="1:52" ht="13" x14ac:dyDescent="0.3">
      <c r="A102" s="23" t="s">
        <v>254</v>
      </c>
      <c r="B102" s="20"/>
      <c r="C102" s="20"/>
      <c r="D102" s="20"/>
      <c r="E102" s="20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>
        <v>2</v>
      </c>
      <c r="AU102" s="3"/>
      <c r="AV102" s="3">
        <v>2</v>
      </c>
      <c r="AW102" s="3"/>
      <c r="AX102" s="3">
        <v>1</v>
      </c>
      <c r="AY102" s="3"/>
      <c r="AZ102" s="3"/>
    </row>
    <row r="103" spans="1:52" ht="13" x14ac:dyDescent="0.3">
      <c r="A103" s="23" t="s">
        <v>412</v>
      </c>
      <c r="B103" s="20"/>
      <c r="C103" s="20"/>
      <c r="D103" s="20"/>
      <c r="E103" s="20"/>
      <c r="F103" s="3"/>
      <c r="G103" s="3"/>
      <c r="H103" s="3"/>
      <c r="I103" s="3"/>
      <c r="J103" s="3"/>
      <c r="K103" s="3"/>
      <c r="L103" s="3"/>
      <c r="M103" s="3"/>
      <c r="N103" s="3"/>
      <c r="O103" s="3">
        <v>1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</row>
    <row r="104" spans="1:52" ht="13" x14ac:dyDescent="0.3">
      <c r="A104" s="23" t="s">
        <v>433</v>
      </c>
      <c r="B104" s="20"/>
      <c r="C104" s="20"/>
      <c r="D104" s="20"/>
      <c r="E104" s="20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>
        <v>2</v>
      </c>
      <c r="AG104" s="3"/>
      <c r="AH104" s="3"/>
      <c r="AI104" s="3"/>
      <c r="AJ104" s="3">
        <v>2</v>
      </c>
      <c r="AK104" s="3"/>
      <c r="AL104" s="3"/>
      <c r="AM104" s="3"/>
      <c r="AN104" s="3">
        <v>2</v>
      </c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</row>
    <row r="105" spans="1:52" ht="13" x14ac:dyDescent="0.3">
      <c r="A105" s="23" t="s">
        <v>255</v>
      </c>
      <c r="B105" s="20"/>
      <c r="C105" s="20"/>
      <c r="D105" s="20"/>
      <c r="E105" s="20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>
        <v>2</v>
      </c>
      <c r="AT105" s="3"/>
      <c r="AU105" s="3"/>
      <c r="AV105" s="3"/>
      <c r="AW105" s="3"/>
      <c r="AX105" s="3"/>
      <c r="AY105" s="3"/>
      <c r="AZ105" s="3"/>
    </row>
    <row r="106" spans="1:52" ht="13" x14ac:dyDescent="0.3">
      <c r="A106" s="23" t="s">
        <v>68</v>
      </c>
      <c r="B106" s="20"/>
      <c r="C106" s="20"/>
      <c r="D106" s="20"/>
      <c r="E106" s="20"/>
      <c r="F106" s="3">
        <v>3</v>
      </c>
      <c r="G106" s="3"/>
      <c r="H106" s="3">
        <v>3</v>
      </c>
      <c r="I106" s="3"/>
      <c r="J106" s="3">
        <v>2</v>
      </c>
      <c r="K106" s="3"/>
      <c r="L106" s="3"/>
      <c r="M106" s="3"/>
      <c r="N106" s="3"/>
      <c r="O106" s="3"/>
      <c r="P106" s="3"/>
      <c r="Q106" s="3"/>
      <c r="R106" s="3">
        <v>2</v>
      </c>
      <c r="S106" s="3"/>
      <c r="T106" s="3"/>
      <c r="U106" s="3"/>
      <c r="V106" s="3"/>
      <c r="W106" s="3"/>
      <c r="X106" s="3"/>
      <c r="Y106" s="3">
        <v>3</v>
      </c>
      <c r="Z106" s="3">
        <v>3</v>
      </c>
      <c r="AA106" s="3">
        <v>3</v>
      </c>
      <c r="AB106" s="3">
        <v>3</v>
      </c>
      <c r="AC106" s="3">
        <v>3</v>
      </c>
      <c r="AD106" s="3">
        <v>3</v>
      </c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</row>
    <row r="107" spans="1:52" ht="13" x14ac:dyDescent="0.3">
      <c r="A107" s="23" t="s">
        <v>69</v>
      </c>
      <c r="B107" s="20"/>
      <c r="C107" s="20"/>
      <c r="D107" s="20"/>
      <c r="E107" s="20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>
        <v>2</v>
      </c>
      <c r="AA107" s="3">
        <v>2</v>
      </c>
      <c r="AB107" s="3">
        <v>2</v>
      </c>
      <c r="AC107" s="3">
        <v>3</v>
      </c>
      <c r="AD107" s="3">
        <v>2</v>
      </c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</row>
    <row r="108" spans="1:52" ht="13" x14ac:dyDescent="0.3">
      <c r="A108" s="23" t="s">
        <v>256</v>
      </c>
      <c r="B108" s="20"/>
      <c r="C108" s="20"/>
      <c r="D108" s="20"/>
      <c r="E108" s="20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>
        <v>2</v>
      </c>
      <c r="AT108" s="3">
        <v>2</v>
      </c>
      <c r="AU108" s="3"/>
      <c r="AV108" s="3">
        <v>2</v>
      </c>
      <c r="AW108" s="3"/>
      <c r="AX108" s="3"/>
      <c r="AY108" s="3"/>
      <c r="AZ108" s="3"/>
    </row>
    <row r="109" spans="1:52" ht="13" x14ac:dyDescent="0.3">
      <c r="A109" s="23" t="s">
        <v>70</v>
      </c>
      <c r="B109" s="20">
        <v>3</v>
      </c>
      <c r="C109" s="20"/>
      <c r="D109" s="20"/>
      <c r="E109" s="20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>
        <v>3</v>
      </c>
      <c r="Z109" s="3"/>
      <c r="AA109" s="3">
        <v>3</v>
      </c>
      <c r="AB109" s="3">
        <v>2</v>
      </c>
      <c r="AC109" s="3">
        <v>2</v>
      </c>
      <c r="AD109" s="3">
        <v>2</v>
      </c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</row>
    <row r="110" spans="1:52" ht="13" x14ac:dyDescent="0.3">
      <c r="A110" s="23" t="s">
        <v>257</v>
      </c>
      <c r="B110" s="20"/>
      <c r="C110" s="20"/>
      <c r="D110" s="20"/>
      <c r="E110" s="20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>
        <v>2</v>
      </c>
      <c r="AT110" s="3"/>
      <c r="AU110" s="3"/>
      <c r="AV110" s="3"/>
      <c r="AW110" s="3"/>
      <c r="AX110" s="3"/>
      <c r="AY110" s="3"/>
      <c r="AZ110" s="3">
        <v>2</v>
      </c>
    </row>
    <row r="111" spans="1:52" ht="13" x14ac:dyDescent="0.3">
      <c r="A111" s="23" t="s">
        <v>455</v>
      </c>
      <c r="B111" s="20"/>
      <c r="C111" s="20"/>
      <c r="D111" s="20"/>
      <c r="E111" s="20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>
        <v>1</v>
      </c>
      <c r="AG111" s="3"/>
      <c r="AH111" s="3"/>
      <c r="AI111" s="3"/>
      <c r="AJ111" s="3">
        <v>1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</row>
    <row r="112" spans="1:52" ht="13" x14ac:dyDescent="0.3">
      <c r="A112" s="23" t="s">
        <v>438</v>
      </c>
      <c r="B112" s="20"/>
      <c r="C112" s="20"/>
      <c r="D112" s="20"/>
      <c r="E112" s="20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2</v>
      </c>
      <c r="AD112" s="3">
        <v>2</v>
      </c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</row>
    <row r="113" spans="1:52" ht="13" x14ac:dyDescent="0.3">
      <c r="A113" s="23" t="s">
        <v>477</v>
      </c>
      <c r="B113" s="20"/>
      <c r="C113" s="20"/>
      <c r="D113" s="20"/>
      <c r="E113" s="20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>
        <v>1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</row>
    <row r="114" spans="1:52" ht="13" x14ac:dyDescent="0.3">
      <c r="A114" s="23" t="s">
        <v>429</v>
      </c>
      <c r="B114" s="20"/>
      <c r="C114" s="20"/>
      <c r="D114" s="20"/>
      <c r="E114" s="20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1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</row>
    <row r="115" spans="1:52" ht="13" x14ac:dyDescent="0.3">
      <c r="A115" s="23" t="s">
        <v>71</v>
      </c>
      <c r="B115" s="20"/>
      <c r="C115" s="20"/>
      <c r="D115" s="20"/>
      <c r="E115" s="20"/>
      <c r="F115" s="3"/>
      <c r="G115" s="3"/>
      <c r="H115" s="3"/>
      <c r="I115" s="3">
        <v>2</v>
      </c>
      <c r="J115" s="3"/>
      <c r="K115" s="3"/>
      <c r="L115" s="3"/>
      <c r="M115" s="3"/>
      <c r="N115" s="3"/>
      <c r="O115" s="3"/>
      <c r="P115" s="3"/>
      <c r="Q115" s="3"/>
      <c r="R115" s="3"/>
      <c r="S115" s="3">
        <v>2</v>
      </c>
      <c r="T115" s="3"/>
      <c r="U115" s="3"/>
      <c r="V115" s="3"/>
      <c r="W115" s="3"/>
      <c r="X115" s="3">
        <v>3</v>
      </c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</row>
    <row r="116" spans="1:52" ht="13" x14ac:dyDescent="0.3">
      <c r="A116" s="23" t="s">
        <v>72</v>
      </c>
      <c r="B116" s="20"/>
      <c r="C116" s="20"/>
      <c r="D116" s="20"/>
      <c r="E116" s="20"/>
      <c r="F116" s="3"/>
      <c r="G116" s="3"/>
      <c r="H116" s="3">
        <v>2</v>
      </c>
      <c r="I116" s="3"/>
      <c r="J116" s="3">
        <v>3</v>
      </c>
      <c r="K116" s="3"/>
      <c r="L116" s="3"/>
      <c r="M116" s="3"/>
      <c r="N116" s="3"/>
      <c r="O116" s="3"/>
      <c r="P116" s="3"/>
      <c r="Q116" s="3"/>
      <c r="R116" s="3">
        <v>3</v>
      </c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>
        <v>2</v>
      </c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</row>
    <row r="117" spans="1:52" ht="13" x14ac:dyDescent="0.3">
      <c r="A117" s="23" t="s">
        <v>463</v>
      </c>
      <c r="B117" s="20"/>
      <c r="C117" s="20"/>
      <c r="D117" s="20"/>
      <c r="E117" s="20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>
        <v>1</v>
      </c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</row>
    <row r="118" spans="1:52" ht="13" x14ac:dyDescent="0.3">
      <c r="A118" s="23" t="s">
        <v>392</v>
      </c>
      <c r="B118" s="20"/>
      <c r="C118" s="20"/>
      <c r="D118" s="20"/>
      <c r="E118" s="20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>
        <v>1</v>
      </c>
      <c r="AT118" s="3">
        <v>1</v>
      </c>
      <c r="AU118" s="3"/>
      <c r="AV118" s="3"/>
      <c r="AW118" s="3"/>
      <c r="AX118" s="3"/>
      <c r="AY118" s="3"/>
      <c r="AZ118" s="3"/>
    </row>
    <row r="119" spans="1:52" ht="13" x14ac:dyDescent="0.3">
      <c r="A119" s="23" t="s">
        <v>478</v>
      </c>
      <c r="B119" s="20"/>
      <c r="C119" s="20"/>
      <c r="D119" s="20"/>
      <c r="E119" s="20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1</v>
      </c>
      <c r="AD119" s="3">
        <v>1</v>
      </c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</row>
    <row r="120" spans="1:52" ht="13" x14ac:dyDescent="0.3">
      <c r="A120" s="23" t="s">
        <v>452</v>
      </c>
      <c r="B120" s="20"/>
      <c r="C120" s="20"/>
      <c r="D120" s="20"/>
      <c r="E120" s="20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1</v>
      </c>
      <c r="AD120" s="3">
        <v>1</v>
      </c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</row>
    <row r="121" spans="1:52" ht="13" x14ac:dyDescent="0.3">
      <c r="A121" s="23" t="s">
        <v>258</v>
      </c>
      <c r="B121" s="20"/>
      <c r="C121" s="20"/>
      <c r="D121" s="20"/>
      <c r="E121" s="20"/>
      <c r="F121" s="3"/>
      <c r="G121" s="3"/>
      <c r="H121" s="3">
        <v>2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>
        <v>2</v>
      </c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</row>
    <row r="122" spans="1:52" ht="13" x14ac:dyDescent="0.3">
      <c r="A122" s="23" t="s">
        <v>442</v>
      </c>
      <c r="B122" s="20"/>
      <c r="C122" s="20"/>
      <c r="D122" s="20"/>
      <c r="E122" s="20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>
        <v>1</v>
      </c>
      <c r="AG122" s="3"/>
      <c r="AH122" s="3"/>
      <c r="AI122" s="3"/>
      <c r="AJ122" s="3">
        <v>1</v>
      </c>
      <c r="AK122" s="3"/>
      <c r="AL122" s="3"/>
      <c r="AM122" s="3"/>
      <c r="AN122" s="3">
        <v>1</v>
      </c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</row>
    <row r="123" spans="1:52" ht="13" x14ac:dyDescent="0.3">
      <c r="A123" s="23" t="s">
        <v>73</v>
      </c>
      <c r="B123" s="20">
        <v>2</v>
      </c>
      <c r="C123" s="20"/>
      <c r="D123" s="20"/>
      <c r="E123" s="20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>
        <v>2</v>
      </c>
      <c r="AA123" s="3">
        <v>2</v>
      </c>
      <c r="AB123" s="3">
        <v>2</v>
      </c>
      <c r="AC123" s="3">
        <v>2</v>
      </c>
      <c r="AD123" s="3">
        <v>2</v>
      </c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</row>
    <row r="124" spans="1:52" ht="13" x14ac:dyDescent="0.3">
      <c r="A124" s="23" t="s">
        <v>259</v>
      </c>
      <c r="B124" s="20">
        <v>3</v>
      </c>
      <c r="C124" s="20">
        <v>3</v>
      </c>
      <c r="D124" s="20"/>
      <c r="E124" s="20">
        <v>3</v>
      </c>
      <c r="F124" s="3"/>
      <c r="G124" s="3"/>
      <c r="H124" s="3">
        <v>2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</row>
    <row r="125" spans="1:52" ht="13" x14ac:dyDescent="0.3">
      <c r="A125" s="23" t="s">
        <v>74</v>
      </c>
      <c r="B125" s="20"/>
      <c r="C125" s="20"/>
      <c r="D125" s="20"/>
      <c r="E125" s="20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>
        <v>2</v>
      </c>
      <c r="AG125" s="3">
        <v>2</v>
      </c>
      <c r="AH125" s="3">
        <v>2</v>
      </c>
      <c r="AI125" s="3"/>
      <c r="AJ125" s="3"/>
      <c r="AK125" s="3"/>
      <c r="AL125" s="3">
        <v>2</v>
      </c>
      <c r="AM125" s="3"/>
      <c r="AN125" s="3">
        <v>2</v>
      </c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</row>
    <row r="126" spans="1:52" ht="13" x14ac:dyDescent="0.3">
      <c r="A126" s="23" t="s">
        <v>260</v>
      </c>
      <c r="B126" s="20"/>
      <c r="C126" s="20"/>
      <c r="D126" s="20"/>
      <c r="E126" s="20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>
        <v>2</v>
      </c>
      <c r="AR126" s="3"/>
      <c r="AS126" s="3"/>
      <c r="AT126" s="3"/>
      <c r="AU126" s="3"/>
      <c r="AV126" s="3"/>
      <c r="AW126" s="3">
        <v>2</v>
      </c>
      <c r="AX126" s="3">
        <v>1</v>
      </c>
      <c r="AY126" s="3"/>
      <c r="AZ126" s="3"/>
    </row>
    <row r="127" spans="1:52" ht="13" x14ac:dyDescent="0.3">
      <c r="A127" s="23" t="s">
        <v>387</v>
      </c>
      <c r="B127" s="20"/>
      <c r="C127" s="20"/>
      <c r="D127" s="20"/>
      <c r="E127" s="20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>
        <v>2</v>
      </c>
      <c r="AR127" s="3"/>
      <c r="AS127" s="3"/>
      <c r="AT127" s="3"/>
      <c r="AU127" s="3"/>
      <c r="AV127" s="3"/>
      <c r="AW127" s="3"/>
      <c r="AX127" s="3"/>
      <c r="AY127" s="3"/>
      <c r="AZ127" s="3"/>
    </row>
    <row r="128" spans="1:52" ht="13" x14ac:dyDescent="0.3">
      <c r="A128" s="23" t="s">
        <v>75</v>
      </c>
      <c r="B128" s="20"/>
      <c r="C128" s="20"/>
      <c r="D128" s="20"/>
      <c r="E128" s="20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>
        <v>2</v>
      </c>
      <c r="V128" s="3"/>
      <c r="W128" s="3">
        <v>2</v>
      </c>
      <c r="X128" s="3">
        <v>3</v>
      </c>
      <c r="Y128" s="3">
        <v>2</v>
      </c>
      <c r="Z128" s="3">
        <v>2</v>
      </c>
      <c r="AA128" s="3"/>
      <c r="AB128" s="3"/>
      <c r="AC128" s="3">
        <v>2</v>
      </c>
      <c r="AD128" s="3">
        <v>2</v>
      </c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</row>
    <row r="129" spans="1:52" ht="13" x14ac:dyDescent="0.3">
      <c r="A129" s="23" t="s">
        <v>261</v>
      </c>
      <c r="B129" s="20"/>
      <c r="C129" s="20"/>
      <c r="D129" s="20"/>
      <c r="E129" s="20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2</v>
      </c>
      <c r="AY129" s="3"/>
      <c r="AZ129" s="3"/>
    </row>
    <row r="130" spans="1:52" ht="13" x14ac:dyDescent="0.3">
      <c r="A130" s="23" t="s">
        <v>479</v>
      </c>
      <c r="B130" s="20"/>
      <c r="C130" s="20"/>
      <c r="D130" s="20"/>
      <c r="E130" s="20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1</v>
      </c>
      <c r="AD130" s="3">
        <v>1</v>
      </c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</row>
    <row r="131" spans="1:52" ht="13" x14ac:dyDescent="0.3">
      <c r="A131" s="23" t="s">
        <v>262</v>
      </c>
      <c r="B131" s="20"/>
      <c r="C131" s="20"/>
      <c r="D131" s="20"/>
      <c r="E131" s="20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>
        <v>2</v>
      </c>
      <c r="AT131" s="3">
        <v>2</v>
      </c>
      <c r="AU131" s="3">
        <v>2</v>
      </c>
      <c r="AV131" s="3"/>
      <c r="AW131" s="3"/>
      <c r="AX131" s="3"/>
      <c r="AY131" s="3"/>
      <c r="AZ131" s="3">
        <v>2</v>
      </c>
    </row>
    <row r="132" spans="1:52" ht="13" x14ac:dyDescent="0.3">
      <c r="A132" s="23" t="s">
        <v>376</v>
      </c>
      <c r="B132" s="20"/>
      <c r="C132" s="20"/>
      <c r="D132" s="20"/>
      <c r="E132" s="20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>
        <v>2</v>
      </c>
      <c r="AX132" s="3"/>
      <c r="AY132" s="3"/>
      <c r="AZ132" s="3"/>
    </row>
    <row r="133" spans="1:52" ht="13" x14ac:dyDescent="0.3">
      <c r="A133" s="23" t="s">
        <v>263</v>
      </c>
      <c r="B133" s="20"/>
      <c r="C133" s="20"/>
      <c r="D133" s="20"/>
      <c r="E133" s="20"/>
      <c r="F133" s="3"/>
      <c r="G133" s="3"/>
      <c r="H133" s="3"/>
      <c r="I133" s="3"/>
      <c r="J133" s="3">
        <v>2</v>
      </c>
      <c r="K133" s="3"/>
      <c r="L133" s="3"/>
      <c r="M133" s="3"/>
      <c r="N133" s="3"/>
      <c r="O133" s="3"/>
      <c r="P133" s="3"/>
      <c r="Q133" s="3">
        <v>2</v>
      </c>
      <c r="R133" s="3">
        <v>2</v>
      </c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>
        <v>2</v>
      </c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</row>
    <row r="134" spans="1:52" ht="13" x14ac:dyDescent="0.3">
      <c r="A134" s="23" t="s">
        <v>264</v>
      </c>
      <c r="B134" s="20"/>
      <c r="C134" s="20"/>
      <c r="D134" s="20"/>
      <c r="E134" s="20"/>
      <c r="F134" s="3"/>
      <c r="G134" s="3"/>
      <c r="H134" s="3"/>
      <c r="I134" s="3"/>
      <c r="J134" s="3">
        <v>2</v>
      </c>
      <c r="K134" s="3"/>
      <c r="L134" s="3"/>
      <c r="M134" s="3"/>
      <c r="N134" s="3"/>
      <c r="O134" s="3"/>
      <c r="P134" s="3"/>
      <c r="Q134" s="3">
        <v>2</v>
      </c>
      <c r="R134" s="3">
        <v>2</v>
      </c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>
        <v>2</v>
      </c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</row>
    <row r="135" spans="1:52" ht="13" x14ac:dyDescent="0.3">
      <c r="A135" s="23" t="s">
        <v>265</v>
      </c>
      <c r="B135" s="20"/>
      <c r="C135" s="20"/>
      <c r="D135" s="20"/>
      <c r="E135" s="20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>
        <v>2</v>
      </c>
      <c r="AR135" s="3"/>
      <c r="AS135" s="3">
        <v>1</v>
      </c>
      <c r="AT135" s="3">
        <v>2</v>
      </c>
      <c r="AU135" s="3"/>
      <c r="AV135" s="3"/>
      <c r="AW135" s="3">
        <v>2</v>
      </c>
      <c r="AX135" s="3">
        <v>2</v>
      </c>
      <c r="AY135" s="3"/>
      <c r="AZ135" s="3"/>
    </row>
    <row r="136" spans="1:52" ht="13" x14ac:dyDescent="0.3">
      <c r="A136" s="23" t="s">
        <v>76</v>
      </c>
      <c r="B136" s="20"/>
      <c r="C136" s="20"/>
      <c r="D136" s="20"/>
      <c r="E136" s="20"/>
      <c r="F136" s="3"/>
      <c r="G136" s="3"/>
      <c r="H136" s="3"/>
      <c r="I136" s="3"/>
      <c r="J136" s="3">
        <v>2</v>
      </c>
      <c r="K136" s="3"/>
      <c r="L136" s="3"/>
      <c r="M136" s="3"/>
      <c r="N136" s="3"/>
      <c r="O136" s="3"/>
      <c r="P136" s="3"/>
      <c r="Q136" s="3"/>
      <c r="R136" s="3">
        <v>2</v>
      </c>
      <c r="S136" s="3"/>
      <c r="T136" s="3"/>
      <c r="U136" s="3"/>
      <c r="V136" s="3">
        <v>2</v>
      </c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>
        <v>2</v>
      </c>
      <c r="AI136" s="3"/>
      <c r="AJ136" s="3"/>
      <c r="AK136" s="3"/>
      <c r="AL136" s="3"/>
      <c r="AM136" s="3"/>
      <c r="AN136" s="3"/>
      <c r="AO136" s="3"/>
      <c r="AP136" s="3"/>
      <c r="AQ136" s="3">
        <v>2</v>
      </c>
      <c r="AR136" s="3">
        <v>2</v>
      </c>
      <c r="AS136" s="3">
        <v>2</v>
      </c>
      <c r="AT136" s="3">
        <v>2</v>
      </c>
      <c r="AU136" s="3">
        <v>2</v>
      </c>
      <c r="AV136" s="3">
        <v>2</v>
      </c>
      <c r="AW136" s="3"/>
      <c r="AX136" s="3"/>
      <c r="AY136" s="3"/>
      <c r="AZ136" s="3">
        <v>2</v>
      </c>
    </row>
    <row r="137" spans="1:52" ht="13" x14ac:dyDescent="0.3">
      <c r="A137" s="23" t="s">
        <v>77</v>
      </c>
      <c r="B137" s="20"/>
      <c r="C137" s="20"/>
      <c r="D137" s="20"/>
      <c r="E137" s="20"/>
      <c r="F137" s="3">
        <v>3</v>
      </c>
      <c r="G137" s="3"/>
      <c r="H137" s="3">
        <v>3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>
        <v>3</v>
      </c>
      <c r="T137" s="3"/>
      <c r="U137" s="3"/>
      <c r="V137" s="3"/>
      <c r="W137" s="3"/>
      <c r="X137" s="3"/>
      <c r="Y137" s="3">
        <v>2</v>
      </c>
      <c r="Z137" s="3">
        <v>2</v>
      </c>
      <c r="AA137" s="3">
        <v>2</v>
      </c>
      <c r="AB137" s="3">
        <v>2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</row>
    <row r="138" spans="1:52" ht="13" x14ac:dyDescent="0.3">
      <c r="A138" s="23" t="s">
        <v>78</v>
      </c>
      <c r="B138" s="20">
        <v>3</v>
      </c>
      <c r="C138" s="20"/>
      <c r="D138" s="20"/>
      <c r="E138" s="20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>
        <v>2</v>
      </c>
      <c r="Z138" s="3">
        <v>2</v>
      </c>
      <c r="AA138" s="3"/>
      <c r="AB138" s="3"/>
      <c r="AC138" s="3">
        <v>3</v>
      </c>
      <c r="AD138" s="3">
        <v>3</v>
      </c>
      <c r="AE138" s="3"/>
      <c r="AF138" s="3"/>
      <c r="AG138" s="3">
        <v>2</v>
      </c>
      <c r="AH138" s="3"/>
      <c r="AI138" s="3"/>
      <c r="AJ138" s="3"/>
      <c r="AK138" s="3">
        <v>2</v>
      </c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</row>
    <row r="139" spans="1:52" ht="13" x14ac:dyDescent="0.3">
      <c r="A139" s="23" t="s">
        <v>409</v>
      </c>
      <c r="B139" s="20"/>
      <c r="C139" s="20"/>
      <c r="D139" s="20"/>
      <c r="E139" s="20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>
        <v>1</v>
      </c>
      <c r="AV139" s="3"/>
      <c r="AW139" s="3"/>
      <c r="AX139" s="3"/>
      <c r="AY139" s="3"/>
      <c r="AZ139" s="3"/>
    </row>
    <row r="140" spans="1:52" ht="13" x14ac:dyDescent="0.3">
      <c r="A140" s="23" t="s">
        <v>266</v>
      </c>
      <c r="B140" s="20">
        <v>2</v>
      </c>
      <c r="C140" s="20"/>
      <c r="D140" s="20"/>
      <c r="E140" s="20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>
        <v>2</v>
      </c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>
        <v>2</v>
      </c>
      <c r="AM140" s="3"/>
      <c r="AN140" s="3">
        <v>2</v>
      </c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</row>
    <row r="141" spans="1:52" ht="13" x14ac:dyDescent="0.3">
      <c r="A141" s="23" t="s">
        <v>267</v>
      </c>
      <c r="B141" s="20"/>
      <c r="C141" s="20"/>
      <c r="D141" s="20"/>
      <c r="E141" s="20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>
        <v>2</v>
      </c>
      <c r="AR141" s="3"/>
      <c r="AS141" s="3">
        <v>2</v>
      </c>
      <c r="AT141" s="3">
        <v>1</v>
      </c>
      <c r="AU141" s="3">
        <v>2</v>
      </c>
      <c r="AV141" s="3"/>
      <c r="AW141" s="3"/>
      <c r="AX141" s="3">
        <v>2</v>
      </c>
      <c r="AY141" s="3"/>
      <c r="AZ141" s="3"/>
    </row>
    <row r="142" spans="1:52" ht="13" x14ac:dyDescent="0.3">
      <c r="A142" s="23" t="s">
        <v>79</v>
      </c>
      <c r="B142" s="20">
        <v>2</v>
      </c>
      <c r="C142" s="20"/>
      <c r="D142" s="20"/>
      <c r="E142" s="20"/>
      <c r="F142" s="3"/>
      <c r="G142" s="3"/>
      <c r="H142" s="3"/>
      <c r="I142" s="3"/>
      <c r="J142" s="3">
        <v>3</v>
      </c>
      <c r="K142" s="3"/>
      <c r="L142" s="3"/>
      <c r="M142" s="3"/>
      <c r="N142" s="3"/>
      <c r="O142" s="3"/>
      <c r="P142" s="3"/>
      <c r="Q142" s="3">
        <v>2</v>
      </c>
      <c r="R142" s="3">
        <v>3</v>
      </c>
      <c r="S142" s="3"/>
      <c r="T142" s="3"/>
      <c r="U142" s="3"/>
      <c r="V142" s="3"/>
      <c r="W142" s="3"/>
      <c r="X142" s="3"/>
      <c r="Y142" s="3">
        <v>2</v>
      </c>
      <c r="Z142" s="3">
        <v>2</v>
      </c>
      <c r="AA142" s="3">
        <v>2</v>
      </c>
      <c r="AB142" s="3">
        <v>2</v>
      </c>
      <c r="AC142" s="3">
        <v>2</v>
      </c>
      <c r="AD142" s="3">
        <v>2</v>
      </c>
      <c r="AE142" s="3"/>
      <c r="AF142" s="3"/>
      <c r="AG142" s="3"/>
      <c r="AH142" s="3">
        <v>2</v>
      </c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</row>
    <row r="143" spans="1:52" ht="13" x14ac:dyDescent="0.3">
      <c r="A143" s="23" t="s">
        <v>380</v>
      </c>
      <c r="B143" s="20"/>
      <c r="C143" s="20"/>
      <c r="D143" s="20"/>
      <c r="E143" s="20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>
        <v>2</v>
      </c>
      <c r="AX143" s="3"/>
      <c r="AY143" s="3"/>
      <c r="AZ143" s="3"/>
    </row>
    <row r="144" spans="1:52" ht="13" x14ac:dyDescent="0.3">
      <c r="A144" s="23" t="s">
        <v>80</v>
      </c>
      <c r="B144" s="20"/>
      <c r="C144" s="20"/>
      <c r="D144" s="20"/>
      <c r="E144" s="20"/>
      <c r="F144" s="3"/>
      <c r="G144" s="3"/>
      <c r="H144" s="3"/>
      <c r="I144" s="3"/>
      <c r="J144" s="3">
        <v>2</v>
      </c>
      <c r="K144" s="3"/>
      <c r="L144" s="3"/>
      <c r="M144" s="3"/>
      <c r="N144" s="3"/>
      <c r="O144" s="3"/>
      <c r="P144" s="3"/>
      <c r="Q144" s="3">
        <v>2</v>
      </c>
      <c r="R144" s="3">
        <v>2</v>
      </c>
      <c r="S144" s="3"/>
      <c r="T144" s="3"/>
      <c r="U144" s="3">
        <v>3</v>
      </c>
      <c r="V144" s="3">
        <v>3</v>
      </c>
      <c r="W144" s="3"/>
      <c r="X144" s="3"/>
      <c r="Y144" s="3"/>
      <c r="Z144" s="3">
        <v>2</v>
      </c>
      <c r="AA144" s="3">
        <v>2</v>
      </c>
      <c r="AB144" s="3">
        <v>2</v>
      </c>
      <c r="AC144" s="3">
        <v>1</v>
      </c>
      <c r="AD144" s="3">
        <v>1</v>
      </c>
      <c r="AE144" s="3"/>
      <c r="AF144" s="3"/>
      <c r="AG144" s="3"/>
      <c r="AH144" s="3">
        <v>2</v>
      </c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</row>
    <row r="145" spans="1:52" ht="13" x14ac:dyDescent="0.3">
      <c r="A145" s="23" t="s">
        <v>81</v>
      </c>
      <c r="B145" s="20"/>
      <c r="C145" s="20"/>
      <c r="D145" s="20"/>
      <c r="E145" s="20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>
        <v>3</v>
      </c>
      <c r="Z145" s="3">
        <v>3</v>
      </c>
      <c r="AA145" s="3">
        <v>3</v>
      </c>
      <c r="AB145" s="3">
        <v>3</v>
      </c>
      <c r="AC145" s="3">
        <v>3</v>
      </c>
      <c r="AD145" s="3">
        <v>3</v>
      </c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</row>
    <row r="146" spans="1:52" ht="13" x14ac:dyDescent="0.3">
      <c r="A146" s="23" t="s">
        <v>268</v>
      </c>
      <c r="B146" s="20"/>
      <c r="C146" s="20"/>
      <c r="D146" s="20"/>
      <c r="E146" s="20"/>
      <c r="F146" s="3"/>
      <c r="G146" s="3"/>
      <c r="H146" s="3"/>
      <c r="I146" s="3"/>
      <c r="J146" s="3">
        <v>2</v>
      </c>
      <c r="K146" s="3"/>
      <c r="L146" s="3"/>
      <c r="M146" s="3"/>
      <c r="N146" s="3"/>
      <c r="O146" s="3"/>
      <c r="P146" s="3"/>
      <c r="Q146" s="3">
        <v>2</v>
      </c>
      <c r="R146" s="3">
        <v>2</v>
      </c>
      <c r="S146" s="3"/>
      <c r="T146" s="3"/>
      <c r="U146" s="3">
        <v>2</v>
      </c>
      <c r="V146" s="3">
        <v>2</v>
      </c>
      <c r="W146" s="3"/>
      <c r="X146" s="3">
        <v>3</v>
      </c>
      <c r="Y146" s="3"/>
      <c r="Z146" s="3"/>
      <c r="AA146" s="3"/>
      <c r="AB146" s="3"/>
      <c r="AC146" s="3"/>
      <c r="AD146" s="3"/>
      <c r="AE146" s="3"/>
      <c r="AF146" s="3"/>
      <c r="AG146" s="3"/>
      <c r="AH146" s="3">
        <v>2</v>
      </c>
      <c r="AI146" s="3"/>
      <c r="AJ146" s="3"/>
      <c r="AK146" s="3"/>
      <c r="AL146" s="3"/>
      <c r="AM146" s="3"/>
      <c r="AN146" s="3">
        <v>2</v>
      </c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</row>
    <row r="147" spans="1:52" ht="13" x14ac:dyDescent="0.3">
      <c r="A147" s="23" t="s">
        <v>82</v>
      </c>
      <c r="B147" s="20"/>
      <c r="C147" s="20"/>
      <c r="D147" s="20"/>
      <c r="E147" s="20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>
        <v>3</v>
      </c>
      <c r="Y147" s="3">
        <v>2</v>
      </c>
      <c r="Z147" s="3">
        <v>2</v>
      </c>
      <c r="AA147" s="3"/>
      <c r="AB147" s="3"/>
      <c r="AC147" s="3">
        <v>2</v>
      </c>
      <c r="AD147" s="3">
        <v>2</v>
      </c>
      <c r="AE147" s="3"/>
      <c r="AF147" s="3"/>
      <c r="AG147" s="3">
        <v>1</v>
      </c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</row>
    <row r="148" spans="1:52" ht="13" x14ac:dyDescent="0.3">
      <c r="A148" s="23" t="s">
        <v>269</v>
      </c>
      <c r="B148" s="20"/>
      <c r="C148" s="20"/>
      <c r="D148" s="20"/>
      <c r="E148" s="20"/>
      <c r="F148" s="3"/>
      <c r="G148" s="3"/>
      <c r="H148" s="3"/>
      <c r="I148" s="3"/>
      <c r="J148" s="3"/>
      <c r="K148" s="3">
        <v>2</v>
      </c>
      <c r="L148" s="3"/>
      <c r="M148" s="3">
        <v>2</v>
      </c>
      <c r="N148" s="3">
        <v>2</v>
      </c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>
        <v>2</v>
      </c>
      <c r="AJ148" s="3"/>
      <c r="AK148" s="3"/>
      <c r="AL148" s="3"/>
      <c r="AM148" s="3">
        <v>2</v>
      </c>
      <c r="AN148" s="3">
        <v>2</v>
      </c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</row>
    <row r="149" spans="1:52" ht="13" x14ac:dyDescent="0.3">
      <c r="A149" s="23" t="s">
        <v>270</v>
      </c>
      <c r="B149" s="20">
        <v>2</v>
      </c>
      <c r="C149" s="20"/>
      <c r="D149" s="20"/>
      <c r="E149" s="20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>
        <v>2</v>
      </c>
      <c r="Z149" s="3">
        <v>2</v>
      </c>
      <c r="AA149" s="3"/>
      <c r="AB149" s="3"/>
      <c r="AC149" s="3">
        <v>2</v>
      </c>
      <c r="AD149" s="3">
        <v>2</v>
      </c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2</v>
      </c>
      <c r="AY149" s="3"/>
      <c r="AZ149" s="3"/>
    </row>
    <row r="150" spans="1:52" ht="13" x14ac:dyDescent="0.3">
      <c r="A150" s="23" t="s">
        <v>431</v>
      </c>
      <c r="B150" s="20"/>
      <c r="C150" s="20"/>
      <c r="D150" s="20"/>
      <c r="E150" s="20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>
        <v>2</v>
      </c>
      <c r="AG150" s="3"/>
      <c r="AH150" s="3"/>
      <c r="AI150" s="3"/>
      <c r="AJ150" s="3">
        <v>2</v>
      </c>
      <c r="AK150" s="3"/>
      <c r="AL150" s="3"/>
      <c r="AM150" s="3"/>
      <c r="AN150" s="3">
        <v>2</v>
      </c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</row>
    <row r="151" spans="1:52" ht="13" x14ac:dyDescent="0.3">
      <c r="A151" s="23" t="s">
        <v>271</v>
      </c>
      <c r="B151" s="20"/>
      <c r="C151" s="20"/>
      <c r="D151" s="20"/>
      <c r="E151" s="20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>
        <v>2</v>
      </c>
      <c r="AT151" s="3"/>
      <c r="AU151" s="3"/>
      <c r="AV151" s="3"/>
      <c r="AW151" s="3"/>
      <c r="AX151" s="3"/>
      <c r="AY151" s="3"/>
      <c r="AZ151" s="3"/>
    </row>
    <row r="152" spans="1:52" ht="13" x14ac:dyDescent="0.3">
      <c r="A152" s="23" t="s">
        <v>84</v>
      </c>
      <c r="B152" s="20"/>
      <c r="C152" s="20"/>
      <c r="D152" s="20"/>
      <c r="E152" s="20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>
        <v>2</v>
      </c>
      <c r="AA152" s="3">
        <v>2</v>
      </c>
      <c r="AB152" s="3">
        <v>2</v>
      </c>
      <c r="AC152" s="3">
        <v>2</v>
      </c>
      <c r="AD152" s="3">
        <v>2</v>
      </c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</row>
    <row r="153" spans="1:52" ht="13" x14ac:dyDescent="0.3">
      <c r="A153" s="23" t="s">
        <v>377</v>
      </c>
      <c r="B153" s="20"/>
      <c r="C153" s="20"/>
      <c r="D153" s="20"/>
      <c r="E153" s="20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>
        <v>1</v>
      </c>
      <c r="AM153" s="3"/>
      <c r="AN153" s="3">
        <v>1</v>
      </c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</row>
    <row r="154" spans="1:52" ht="13" x14ac:dyDescent="0.3">
      <c r="A154" s="23" t="s">
        <v>272</v>
      </c>
      <c r="B154" s="20"/>
      <c r="C154" s="20"/>
      <c r="D154" s="20"/>
      <c r="E154" s="20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>
        <v>2</v>
      </c>
      <c r="AT154" s="3"/>
      <c r="AU154" s="3"/>
      <c r="AV154" s="3"/>
      <c r="AW154" s="3">
        <v>2</v>
      </c>
      <c r="AX154" s="3">
        <v>2</v>
      </c>
      <c r="AY154" s="3"/>
      <c r="AZ154" s="3"/>
    </row>
    <row r="155" spans="1:52" ht="13" x14ac:dyDescent="0.3">
      <c r="A155" s="23" t="s">
        <v>427</v>
      </c>
      <c r="B155" s="20"/>
      <c r="C155" s="20"/>
      <c r="D155" s="20"/>
      <c r="E155" s="20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>
        <v>1</v>
      </c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</row>
    <row r="156" spans="1:52" ht="13" x14ac:dyDescent="0.3">
      <c r="A156" s="23" t="s">
        <v>388</v>
      </c>
      <c r="B156" s="20"/>
      <c r="C156" s="20"/>
      <c r="D156" s="20"/>
      <c r="E156" s="20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>
        <v>2</v>
      </c>
      <c r="AR156" s="3"/>
      <c r="AS156" s="3"/>
      <c r="AT156" s="3"/>
      <c r="AU156" s="3"/>
      <c r="AV156" s="3"/>
      <c r="AW156" s="3"/>
      <c r="AX156" s="3"/>
      <c r="AY156" s="3"/>
      <c r="AZ156" s="3"/>
    </row>
    <row r="157" spans="1:52" ht="13" x14ac:dyDescent="0.3">
      <c r="A157" s="23" t="s">
        <v>273</v>
      </c>
      <c r="B157" s="20">
        <v>3</v>
      </c>
      <c r="C157" s="20">
        <v>3</v>
      </c>
      <c r="D157" s="20">
        <v>2</v>
      </c>
      <c r="E157" s="20">
        <v>2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>
        <v>1</v>
      </c>
      <c r="AT157" s="3"/>
      <c r="AU157" s="3"/>
      <c r="AV157" s="3"/>
      <c r="AW157" s="3"/>
      <c r="AX157" s="3"/>
      <c r="AY157" s="3"/>
      <c r="AZ157" s="3"/>
    </row>
    <row r="158" spans="1:52" ht="13" x14ac:dyDescent="0.3">
      <c r="A158" s="23" t="s">
        <v>274</v>
      </c>
      <c r="B158" s="20"/>
      <c r="C158" s="20"/>
      <c r="D158" s="20"/>
      <c r="E158" s="20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>
        <v>2</v>
      </c>
      <c r="AX158" s="3">
        <v>2</v>
      </c>
      <c r="AY158" s="3"/>
      <c r="AZ158" s="3"/>
    </row>
    <row r="159" spans="1:52" ht="13" x14ac:dyDescent="0.3">
      <c r="A159" s="23" t="s">
        <v>275</v>
      </c>
      <c r="B159" s="20">
        <v>3</v>
      </c>
      <c r="C159" s="20">
        <v>3</v>
      </c>
      <c r="D159" s="20"/>
      <c r="E159" s="20">
        <v>3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</row>
    <row r="160" spans="1:52" ht="13" x14ac:dyDescent="0.3">
      <c r="A160" s="23" t="s">
        <v>85</v>
      </c>
      <c r="B160" s="20"/>
      <c r="C160" s="20"/>
      <c r="D160" s="20"/>
      <c r="E160" s="20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>
        <v>2</v>
      </c>
      <c r="AO160" s="3">
        <v>1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</row>
    <row r="161" spans="1:52" ht="13" x14ac:dyDescent="0.3">
      <c r="A161" s="23" t="s">
        <v>276</v>
      </c>
      <c r="B161" s="20"/>
      <c r="C161" s="20"/>
      <c r="D161" s="20"/>
      <c r="E161" s="20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2</v>
      </c>
      <c r="AD161" s="3">
        <v>2</v>
      </c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>
        <v>2</v>
      </c>
      <c r="AR161" s="3"/>
      <c r="AS161" s="3"/>
      <c r="AT161" s="3"/>
      <c r="AU161" s="3"/>
      <c r="AV161" s="3"/>
      <c r="AW161" s="3"/>
      <c r="AX161" s="3"/>
      <c r="AY161" s="3"/>
      <c r="AZ161" s="3"/>
    </row>
    <row r="162" spans="1:52" ht="13" x14ac:dyDescent="0.3">
      <c r="A162" s="23" t="s">
        <v>87</v>
      </c>
      <c r="B162" s="20">
        <v>3</v>
      </c>
      <c r="C162" s="20"/>
      <c r="D162" s="20"/>
      <c r="E162" s="20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>
        <v>2</v>
      </c>
      <c r="Z162" s="3">
        <v>3</v>
      </c>
      <c r="AA162" s="3">
        <v>2</v>
      </c>
      <c r="AB162" s="3">
        <v>3</v>
      </c>
      <c r="AC162" s="3">
        <v>2</v>
      </c>
      <c r="AD162" s="3">
        <v>2</v>
      </c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</row>
    <row r="163" spans="1:52" ht="13" x14ac:dyDescent="0.3">
      <c r="A163" s="23" t="s">
        <v>88</v>
      </c>
      <c r="B163" s="20"/>
      <c r="C163" s="20"/>
      <c r="D163" s="20"/>
      <c r="E163" s="20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>
        <v>3</v>
      </c>
      <c r="Z163" s="3"/>
      <c r="AA163" s="3">
        <v>3</v>
      </c>
      <c r="AB163" s="3">
        <v>2</v>
      </c>
      <c r="AC163" s="3">
        <v>2</v>
      </c>
      <c r="AD163" s="3">
        <v>2</v>
      </c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>
        <v>2</v>
      </c>
      <c r="AT163" s="3"/>
      <c r="AU163" s="3"/>
      <c r="AV163" s="3"/>
      <c r="AW163" s="3"/>
      <c r="AX163" s="3">
        <v>1</v>
      </c>
      <c r="AY163" s="3"/>
      <c r="AZ163" s="3"/>
    </row>
    <row r="164" spans="1:52" ht="13" x14ac:dyDescent="0.3">
      <c r="A164" s="23" t="s">
        <v>277</v>
      </c>
      <c r="B164" s="20">
        <v>3</v>
      </c>
      <c r="C164" s="20">
        <v>3</v>
      </c>
      <c r="D164" s="20">
        <v>3</v>
      </c>
      <c r="E164" s="20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</row>
    <row r="165" spans="1:52" ht="13" x14ac:dyDescent="0.3">
      <c r="A165" s="23" t="s">
        <v>278</v>
      </c>
      <c r="B165" s="20"/>
      <c r="C165" s="20"/>
      <c r="D165" s="20"/>
      <c r="E165" s="20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>
        <v>2</v>
      </c>
      <c r="AT165" s="3"/>
      <c r="AU165" s="3"/>
      <c r="AV165" s="3"/>
      <c r="AW165" s="3"/>
      <c r="AX165" s="3">
        <v>2</v>
      </c>
      <c r="AY165" s="3"/>
      <c r="AZ165" s="3"/>
    </row>
    <row r="166" spans="1:52" ht="13" x14ac:dyDescent="0.3">
      <c r="A166" s="23" t="s">
        <v>279</v>
      </c>
      <c r="B166" s="20"/>
      <c r="C166" s="20"/>
      <c r="D166" s="20"/>
      <c r="E166" s="20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>
        <v>1</v>
      </c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2</v>
      </c>
      <c r="AY166" s="3"/>
      <c r="AZ166" s="3"/>
    </row>
    <row r="167" spans="1:52" ht="13" x14ac:dyDescent="0.3">
      <c r="A167" s="23" t="s">
        <v>89</v>
      </c>
      <c r="B167" s="20"/>
      <c r="C167" s="20"/>
      <c r="D167" s="20"/>
      <c r="E167" s="20"/>
      <c r="F167" s="3">
        <v>2</v>
      </c>
      <c r="G167" s="3">
        <v>2</v>
      </c>
      <c r="H167" s="3"/>
      <c r="I167" s="3">
        <v>2</v>
      </c>
      <c r="J167" s="3"/>
      <c r="K167" s="3"/>
      <c r="L167" s="3"/>
      <c r="M167" s="3"/>
      <c r="N167" s="3"/>
      <c r="O167" s="3"/>
      <c r="P167" s="3"/>
      <c r="Q167" s="3"/>
      <c r="R167" s="3"/>
      <c r="S167" s="3">
        <v>3</v>
      </c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</row>
    <row r="168" spans="1:52" ht="13" x14ac:dyDescent="0.3">
      <c r="A168" s="23" t="s">
        <v>90</v>
      </c>
      <c r="B168" s="20">
        <v>2</v>
      </c>
      <c r="C168" s="20"/>
      <c r="D168" s="20"/>
      <c r="E168" s="20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>
        <v>2</v>
      </c>
      <c r="S168" s="3"/>
      <c r="T168" s="3"/>
      <c r="U168" s="3"/>
      <c r="V168" s="3"/>
      <c r="W168" s="3"/>
      <c r="X168" s="3"/>
      <c r="Y168" s="3">
        <v>2</v>
      </c>
      <c r="Z168" s="3">
        <v>2</v>
      </c>
      <c r="AA168" s="3"/>
      <c r="AB168" s="3"/>
      <c r="AC168" s="3">
        <v>2</v>
      </c>
      <c r="AD168" s="3">
        <v>2</v>
      </c>
      <c r="AE168" s="3"/>
      <c r="AF168" s="3"/>
      <c r="AG168" s="3">
        <v>2</v>
      </c>
      <c r="AH168" s="3">
        <v>2</v>
      </c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</row>
    <row r="169" spans="1:52" ht="13" x14ac:dyDescent="0.3">
      <c r="A169" s="23" t="s">
        <v>416</v>
      </c>
      <c r="B169" s="20"/>
      <c r="C169" s="20"/>
      <c r="D169" s="20"/>
      <c r="E169" s="20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1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</row>
    <row r="170" spans="1:52" ht="13" x14ac:dyDescent="0.3">
      <c r="A170" s="23" t="s">
        <v>280</v>
      </c>
      <c r="B170" s="20"/>
      <c r="C170" s="20"/>
      <c r="D170" s="20"/>
      <c r="E170" s="20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>
        <v>2</v>
      </c>
      <c r="AR170" s="3">
        <v>2</v>
      </c>
      <c r="AS170" s="3">
        <v>2</v>
      </c>
      <c r="AT170" s="3">
        <v>2</v>
      </c>
      <c r="AU170" s="3">
        <v>2</v>
      </c>
      <c r="AV170" s="3"/>
      <c r="AW170" s="3"/>
      <c r="AX170" s="3">
        <v>2</v>
      </c>
      <c r="AY170" s="3"/>
      <c r="AZ170" s="3"/>
    </row>
    <row r="171" spans="1:52" ht="13" x14ac:dyDescent="0.3">
      <c r="A171" s="23" t="s">
        <v>281</v>
      </c>
      <c r="B171" s="20"/>
      <c r="C171" s="20"/>
      <c r="D171" s="20"/>
      <c r="E171" s="20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>
        <v>2</v>
      </c>
      <c r="AR171" s="3"/>
      <c r="AS171" s="3"/>
      <c r="AT171" s="3"/>
      <c r="AU171" s="3">
        <v>2</v>
      </c>
      <c r="AV171" s="3"/>
      <c r="AW171" s="3"/>
      <c r="AX171" s="3"/>
      <c r="AY171" s="3"/>
      <c r="AZ171" s="3"/>
    </row>
    <row r="172" spans="1:52" ht="13" x14ac:dyDescent="0.3">
      <c r="A172" s="23" t="s">
        <v>282</v>
      </c>
      <c r="B172" s="20"/>
      <c r="C172" s="20"/>
      <c r="D172" s="20"/>
      <c r="E172" s="20"/>
      <c r="F172" s="3"/>
      <c r="G172" s="3"/>
      <c r="H172" s="3"/>
      <c r="I172" s="3"/>
      <c r="J172" s="3">
        <v>3</v>
      </c>
      <c r="K172" s="3"/>
      <c r="L172" s="3"/>
      <c r="M172" s="3"/>
      <c r="N172" s="3"/>
      <c r="O172" s="3"/>
      <c r="P172" s="3"/>
      <c r="Q172" s="3">
        <v>2</v>
      </c>
      <c r="R172" s="3">
        <v>3</v>
      </c>
      <c r="S172" s="3"/>
      <c r="T172" s="3"/>
      <c r="U172" s="3"/>
      <c r="V172" s="3"/>
      <c r="W172" s="3"/>
      <c r="X172" s="3">
        <v>2</v>
      </c>
      <c r="Y172" s="3"/>
      <c r="Z172" s="3"/>
      <c r="AA172" s="3"/>
      <c r="AB172" s="3"/>
      <c r="AC172" s="3"/>
      <c r="AD172" s="3"/>
      <c r="AE172" s="3"/>
      <c r="AF172" s="3"/>
      <c r="AG172" s="3"/>
      <c r="AH172" s="3">
        <v>2</v>
      </c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</row>
    <row r="173" spans="1:52" ht="13" x14ac:dyDescent="0.3">
      <c r="A173" s="23" t="s">
        <v>283</v>
      </c>
      <c r="B173" s="20"/>
      <c r="C173" s="20"/>
      <c r="D173" s="20">
        <v>2</v>
      </c>
      <c r="E173" s="20">
        <v>2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</row>
    <row r="174" spans="1:52" ht="13" x14ac:dyDescent="0.3">
      <c r="A174" s="23" t="s">
        <v>91</v>
      </c>
      <c r="B174" s="20"/>
      <c r="C174" s="20"/>
      <c r="D174" s="20"/>
      <c r="E174" s="20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>
        <v>2</v>
      </c>
      <c r="V174" s="3"/>
      <c r="W174" s="3">
        <v>2</v>
      </c>
      <c r="X174" s="3"/>
      <c r="Y174" s="3">
        <v>3</v>
      </c>
      <c r="Z174" s="3">
        <v>3</v>
      </c>
      <c r="AA174" s="3">
        <v>3</v>
      </c>
      <c r="AB174" s="3">
        <v>3</v>
      </c>
      <c r="AC174" s="3">
        <v>3</v>
      </c>
      <c r="AD174" s="3">
        <v>3</v>
      </c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</row>
    <row r="175" spans="1:52" ht="13" x14ac:dyDescent="0.3">
      <c r="A175" s="23" t="s">
        <v>461</v>
      </c>
      <c r="B175" s="20"/>
      <c r="C175" s="20"/>
      <c r="D175" s="20"/>
      <c r="E175" s="20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>
        <v>1</v>
      </c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</row>
    <row r="176" spans="1:52" ht="13" x14ac:dyDescent="0.3">
      <c r="A176" s="23" t="s">
        <v>284</v>
      </c>
      <c r="B176" s="20"/>
      <c r="C176" s="20"/>
      <c r="D176" s="20"/>
      <c r="E176" s="20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>
        <v>2</v>
      </c>
      <c r="AR176" s="3"/>
      <c r="AS176" s="3"/>
      <c r="AT176" s="3"/>
      <c r="AU176" s="3"/>
      <c r="AV176" s="3"/>
      <c r="AW176" s="3"/>
      <c r="AX176" s="3"/>
      <c r="AY176" s="3"/>
      <c r="AZ176" s="3"/>
    </row>
    <row r="177" spans="1:52" ht="13" x14ac:dyDescent="0.3">
      <c r="A177" s="23" t="s">
        <v>92</v>
      </c>
      <c r="B177" s="20"/>
      <c r="C177" s="20"/>
      <c r="D177" s="20"/>
      <c r="E177" s="20"/>
      <c r="F177" s="3"/>
      <c r="G177" s="3"/>
      <c r="H177" s="3"/>
      <c r="I177" s="3"/>
      <c r="J177" s="3">
        <v>3</v>
      </c>
      <c r="K177" s="3"/>
      <c r="L177" s="3"/>
      <c r="M177" s="3"/>
      <c r="N177" s="3"/>
      <c r="O177" s="3"/>
      <c r="P177" s="3"/>
      <c r="Q177" s="3"/>
      <c r="R177" s="3">
        <v>3</v>
      </c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>
        <v>3</v>
      </c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</row>
    <row r="178" spans="1:52" ht="13" x14ac:dyDescent="0.3">
      <c r="A178" s="23" t="s">
        <v>94</v>
      </c>
      <c r="B178" s="20">
        <v>3</v>
      </c>
      <c r="C178" s="20"/>
      <c r="D178" s="20"/>
      <c r="E178" s="20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>
        <v>2</v>
      </c>
      <c r="AM178" s="3"/>
      <c r="AN178" s="3">
        <v>2</v>
      </c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</row>
    <row r="179" spans="1:52" ht="13" x14ac:dyDescent="0.3">
      <c r="A179" s="23" t="s">
        <v>95</v>
      </c>
      <c r="B179" s="20">
        <v>2</v>
      </c>
      <c r="C179" s="20"/>
      <c r="D179" s="20"/>
      <c r="E179" s="20"/>
      <c r="F179" s="3">
        <v>2</v>
      </c>
      <c r="G179" s="3"/>
      <c r="H179" s="3">
        <v>2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>
        <v>3</v>
      </c>
      <c r="T179" s="3">
        <v>2</v>
      </c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>
        <v>1</v>
      </c>
      <c r="AT179" s="3"/>
      <c r="AU179" s="3"/>
      <c r="AV179" s="3"/>
      <c r="AW179" s="3"/>
      <c r="AX179" s="3"/>
      <c r="AY179" s="3"/>
      <c r="AZ179" s="3"/>
    </row>
    <row r="180" spans="1:52" ht="13" x14ac:dyDescent="0.3">
      <c r="A180" s="23" t="s">
        <v>96</v>
      </c>
      <c r="B180" s="20"/>
      <c r="C180" s="20"/>
      <c r="D180" s="20"/>
      <c r="E180" s="20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>
        <v>2</v>
      </c>
      <c r="AB180" s="3">
        <v>2</v>
      </c>
      <c r="AC180" s="3">
        <v>2</v>
      </c>
      <c r="AD180" s="3">
        <v>2</v>
      </c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</row>
    <row r="181" spans="1:52" ht="13" x14ac:dyDescent="0.3">
      <c r="A181" s="23" t="s">
        <v>97</v>
      </c>
      <c r="B181" s="20"/>
      <c r="C181" s="20"/>
      <c r="D181" s="20"/>
      <c r="E181" s="20"/>
      <c r="F181" s="3"/>
      <c r="G181" s="3"/>
      <c r="H181" s="3"/>
      <c r="I181" s="3"/>
      <c r="J181" s="3">
        <v>2</v>
      </c>
      <c r="K181" s="3"/>
      <c r="L181" s="3"/>
      <c r="M181" s="3"/>
      <c r="N181" s="3"/>
      <c r="O181" s="3"/>
      <c r="P181" s="3"/>
      <c r="Q181" s="3">
        <v>2</v>
      </c>
      <c r="R181" s="3">
        <v>2</v>
      </c>
      <c r="S181" s="3"/>
      <c r="T181" s="3"/>
      <c r="U181" s="3">
        <v>2</v>
      </c>
      <c r="V181" s="3"/>
      <c r="W181" s="3"/>
      <c r="X181" s="3">
        <v>3</v>
      </c>
      <c r="Y181" s="3">
        <v>2</v>
      </c>
      <c r="Z181" s="3">
        <v>2</v>
      </c>
      <c r="AA181" s="3"/>
      <c r="AB181" s="3"/>
      <c r="AC181" s="3">
        <v>2</v>
      </c>
      <c r="AD181" s="3">
        <v>2</v>
      </c>
      <c r="AE181" s="3"/>
      <c r="AF181" s="3"/>
      <c r="AG181" s="3">
        <v>2</v>
      </c>
      <c r="AH181" s="3">
        <v>2</v>
      </c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</row>
    <row r="182" spans="1:52" ht="13" x14ac:dyDescent="0.3">
      <c r="A182" s="23" t="s">
        <v>98</v>
      </c>
      <c r="B182" s="20"/>
      <c r="C182" s="20"/>
      <c r="D182" s="20"/>
      <c r="E182" s="20"/>
      <c r="F182" s="3">
        <v>2</v>
      </c>
      <c r="G182" s="3"/>
      <c r="H182" s="3">
        <v>2</v>
      </c>
      <c r="I182" s="3"/>
      <c r="J182" s="3">
        <v>3</v>
      </c>
      <c r="K182" s="3">
        <v>3</v>
      </c>
      <c r="L182" s="3"/>
      <c r="M182" s="3">
        <v>3</v>
      </c>
      <c r="N182" s="3">
        <v>3</v>
      </c>
      <c r="O182" s="3"/>
      <c r="P182" s="3"/>
      <c r="Q182" s="3"/>
      <c r="R182" s="3">
        <v>3</v>
      </c>
      <c r="S182" s="3"/>
      <c r="T182" s="3">
        <v>2</v>
      </c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>
        <v>3</v>
      </c>
      <c r="AJ182" s="3"/>
      <c r="AK182" s="3"/>
      <c r="AL182" s="3"/>
      <c r="AM182" s="3">
        <v>3</v>
      </c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</row>
    <row r="183" spans="1:52" ht="13" x14ac:dyDescent="0.3">
      <c r="A183" s="23" t="s">
        <v>99</v>
      </c>
      <c r="B183" s="20"/>
      <c r="C183" s="20"/>
      <c r="D183" s="20"/>
      <c r="E183" s="20"/>
      <c r="F183" s="3"/>
      <c r="G183" s="3"/>
      <c r="H183" s="3">
        <v>3</v>
      </c>
      <c r="I183" s="3"/>
      <c r="J183" s="3">
        <v>3</v>
      </c>
      <c r="K183" s="3">
        <v>2</v>
      </c>
      <c r="L183" s="3"/>
      <c r="M183" s="3">
        <v>2</v>
      </c>
      <c r="N183" s="3">
        <v>2</v>
      </c>
      <c r="O183" s="3"/>
      <c r="P183" s="3"/>
      <c r="Q183" s="3"/>
      <c r="R183" s="3">
        <v>3</v>
      </c>
      <c r="S183" s="3"/>
      <c r="T183" s="3">
        <v>2</v>
      </c>
      <c r="U183" s="3"/>
      <c r="V183" s="3"/>
      <c r="W183" s="3"/>
      <c r="X183" s="3"/>
      <c r="Y183" s="3">
        <v>3</v>
      </c>
      <c r="Z183" s="3">
        <v>3</v>
      </c>
      <c r="AA183" s="3">
        <v>2</v>
      </c>
      <c r="AB183" s="3">
        <v>2</v>
      </c>
      <c r="AC183" s="3">
        <v>3</v>
      </c>
      <c r="AD183" s="3">
        <v>3</v>
      </c>
      <c r="AE183" s="3"/>
      <c r="AF183" s="3"/>
      <c r="AG183" s="3">
        <v>2</v>
      </c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</row>
    <row r="184" spans="1:52" ht="13" x14ac:dyDescent="0.3">
      <c r="A184" s="23" t="s">
        <v>100</v>
      </c>
      <c r="B184" s="20"/>
      <c r="C184" s="20"/>
      <c r="D184" s="20"/>
      <c r="E184" s="20"/>
      <c r="F184" s="3"/>
      <c r="G184" s="3"/>
      <c r="H184" s="3"/>
      <c r="I184" s="3"/>
      <c r="J184" s="3"/>
      <c r="K184" s="3">
        <v>2</v>
      </c>
      <c r="L184" s="3"/>
      <c r="M184" s="3">
        <v>2</v>
      </c>
      <c r="N184" s="3">
        <v>2</v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>
        <v>2</v>
      </c>
      <c r="AJ184" s="3"/>
      <c r="AK184" s="3"/>
      <c r="AL184" s="3"/>
      <c r="AM184" s="3">
        <v>2</v>
      </c>
      <c r="AN184" s="3">
        <v>2</v>
      </c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</row>
    <row r="185" spans="1:52" ht="13" x14ac:dyDescent="0.3">
      <c r="A185" s="23" t="s">
        <v>384</v>
      </c>
      <c r="B185" s="20"/>
      <c r="C185" s="20"/>
      <c r="D185" s="20"/>
      <c r="E185" s="20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>
        <v>2</v>
      </c>
      <c r="AM185" s="3"/>
      <c r="AN185" s="3">
        <v>2</v>
      </c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</row>
    <row r="186" spans="1:52" ht="13" x14ac:dyDescent="0.3">
      <c r="A186" s="23" t="s">
        <v>101</v>
      </c>
      <c r="B186" s="20"/>
      <c r="C186" s="20"/>
      <c r="D186" s="20"/>
      <c r="E186" s="20"/>
      <c r="F186" s="3">
        <v>1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>
        <v>2</v>
      </c>
      <c r="S186" s="3"/>
      <c r="T186" s="3"/>
      <c r="U186" s="3"/>
      <c r="V186" s="3"/>
      <c r="W186" s="3"/>
      <c r="X186" s="3"/>
      <c r="Y186" s="3">
        <v>2</v>
      </c>
      <c r="Z186" s="3">
        <v>2</v>
      </c>
      <c r="AA186" s="3">
        <v>2</v>
      </c>
      <c r="AB186" s="3">
        <v>2</v>
      </c>
      <c r="AC186" s="3"/>
      <c r="AD186" s="3"/>
      <c r="AE186" s="3">
        <v>2</v>
      </c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</row>
    <row r="187" spans="1:52" ht="13" x14ac:dyDescent="0.3">
      <c r="A187" s="23" t="s">
        <v>483</v>
      </c>
      <c r="B187" s="20"/>
      <c r="C187" s="20"/>
      <c r="D187" s="20"/>
      <c r="E187" s="20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2</v>
      </c>
      <c r="AD187" s="3">
        <v>2</v>
      </c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</row>
    <row r="188" spans="1:52" ht="13" x14ac:dyDescent="0.3">
      <c r="A188" s="23" t="s">
        <v>378</v>
      </c>
      <c r="B188" s="20"/>
      <c r="C188" s="20"/>
      <c r="D188" s="20"/>
      <c r="E188" s="20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>
        <v>1</v>
      </c>
      <c r="AM188" s="3"/>
      <c r="AN188" s="3">
        <v>1</v>
      </c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</row>
    <row r="189" spans="1:52" ht="13" x14ac:dyDescent="0.3">
      <c r="A189" s="23" t="s">
        <v>285</v>
      </c>
      <c r="B189" s="20"/>
      <c r="C189" s="20"/>
      <c r="D189" s="20"/>
      <c r="E189" s="20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>
        <v>2</v>
      </c>
      <c r="Y189" s="3"/>
      <c r="Z189" s="3"/>
      <c r="AA189" s="3"/>
      <c r="AB189" s="3"/>
      <c r="AC189" s="3">
        <v>1</v>
      </c>
      <c r="AD189" s="3">
        <v>1</v>
      </c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</row>
    <row r="190" spans="1:52" ht="13" x14ac:dyDescent="0.3">
      <c r="A190" s="23" t="s">
        <v>102</v>
      </c>
      <c r="B190" s="20">
        <v>2</v>
      </c>
      <c r="C190" s="20"/>
      <c r="D190" s="20"/>
      <c r="E190" s="20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>
        <v>3</v>
      </c>
      <c r="V190" s="3"/>
      <c r="W190" s="3">
        <v>3</v>
      </c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</row>
    <row r="191" spans="1:52" ht="13" x14ac:dyDescent="0.3">
      <c r="A191" s="23" t="s">
        <v>104</v>
      </c>
      <c r="B191" s="20"/>
      <c r="C191" s="20"/>
      <c r="D191" s="20"/>
      <c r="E191" s="20"/>
      <c r="F191" s="3"/>
      <c r="G191" s="3">
        <v>2</v>
      </c>
      <c r="H191" s="3"/>
      <c r="I191" s="3">
        <v>2</v>
      </c>
      <c r="J191" s="3"/>
      <c r="K191" s="3"/>
      <c r="L191" s="3"/>
      <c r="M191" s="3"/>
      <c r="N191" s="3"/>
      <c r="O191" s="3"/>
      <c r="P191" s="3"/>
      <c r="Q191" s="3"/>
      <c r="R191" s="3"/>
      <c r="S191" s="3">
        <v>3</v>
      </c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</row>
    <row r="192" spans="1:52" ht="13" x14ac:dyDescent="0.3">
      <c r="A192" s="23" t="s">
        <v>105</v>
      </c>
      <c r="B192" s="20"/>
      <c r="C192" s="20"/>
      <c r="D192" s="20"/>
      <c r="E192" s="20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>
        <v>2</v>
      </c>
      <c r="AB192" s="3">
        <v>2</v>
      </c>
      <c r="AC192" s="3">
        <v>2</v>
      </c>
      <c r="AD192" s="3">
        <v>3</v>
      </c>
      <c r="AE192" s="3"/>
      <c r="AF192" s="3">
        <v>2</v>
      </c>
      <c r="AG192" s="3">
        <v>2</v>
      </c>
      <c r="AH192" s="3"/>
      <c r="AI192" s="3"/>
      <c r="AJ192" s="3">
        <v>2</v>
      </c>
      <c r="AK192" s="3">
        <v>2</v>
      </c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</row>
    <row r="193" spans="1:52" ht="13" x14ac:dyDescent="0.3">
      <c r="A193" s="23" t="s">
        <v>286</v>
      </c>
      <c r="B193" s="20"/>
      <c r="C193" s="20"/>
      <c r="D193" s="20"/>
      <c r="E193" s="20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>
        <v>2</v>
      </c>
      <c r="AR193" s="3"/>
      <c r="AS193" s="3">
        <v>2</v>
      </c>
      <c r="AT193" s="3"/>
      <c r="AU193" s="3"/>
      <c r="AV193" s="3"/>
      <c r="AW193" s="3"/>
      <c r="AX193" s="3"/>
      <c r="AY193" s="3"/>
      <c r="AZ193" s="3"/>
    </row>
    <row r="194" spans="1:52" ht="13" x14ac:dyDescent="0.3">
      <c r="A194" s="23" t="s">
        <v>404</v>
      </c>
      <c r="B194" s="20"/>
      <c r="C194" s="20"/>
      <c r="D194" s="20"/>
      <c r="E194" s="20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>
        <v>2</v>
      </c>
      <c r="AT194" s="3"/>
      <c r="AU194" s="3"/>
      <c r="AV194" s="3"/>
      <c r="AW194" s="3"/>
      <c r="AX194" s="3"/>
      <c r="AY194" s="3"/>
      <c r="AZ194" s="3"/>
    </row>
    <row r="195" spans="1:52" ht="13" x14ac:dyDescent="0.3">
      <c r="A195" s="23" t="s">
        <v>480</v>
      </c>
      <c r="B195" s="20"/>
      <c r="C195" s="20"/>
      <c r="D195" s="20"/>
      <c r="E195" s="20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>
        <v>1</v>
      </c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</row>
    <row r="196" spans="1:52" ht="13" x14ac:dyDescent="0.3">
      <c r="A196" s="23" t="s">
        <v>454</v>
      </c>
      <c r="B196" s="20"/>
      <c r="C196" s="20"/>
      <c r="D196" s="20"/>
      <c r="E196" s="20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>
        <v>1</v>
      </c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</row>
    <row r="197" spans="1:52" ht="13" x14ac:dyDescent="0.3">
      <c r="A197" s="23" t="s">
        <v>107</v>
      </c>
      <c r="B197" s="20">
        <v>2</v>
      </c>
      <c r="C197" s="20"/>
      <c r="D197" s="20"/>
      <c r="E197" s="20"/>
      <c r="F197" s="3">
        <v>3</v>
      </c>
      <c r="G197" s="3"/>
      <c r="H197" s="3">
        <v>2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>
        <v>2</v>
      </c>
      <c r="Z197" s="3">
        <v>2</v>
      </c>
      <c r="AA197" s="3">
        <v>2</v>
      </c>
      <c r="AB197" s="3">
        <v>2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</row>
    <row r="198" spans="1:52" ht="13" x14ac:dyDescent="0.3">
      <c r="A198" s="23" t="s">
        <v>287</v>
      </c>
      <c r="B198" s="20"/>
      <c r="C198" s="20"/>
      <c r="D198" s="20"/>
      <c r="E198" s="20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2</v>
      </c>
      <c r="AY198" s="3"/>
      <c r="AZ198" s="3"/>
    </row>
    <row r="199" spans="1:52" ht="13" x14ac:dyDescent="0.3">
      <c r="A199" s="23" t="s">
        <v>108</v>
      </c>
      <c r="B199" s="20"/>
      <c r="C199" s="20"/>
      <c r="D199" s="20"/>
      <c r="E199" s="20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>
        <v>2</v>
      </c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>
        <v>2</v>
      </c>
      <c r="AM199" s="3"/>
      <c r="AN199" s="3">
        <v>3</v>
      </c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</row>
    <row r="200" spans="1:52" ht="13" x14ac:dyDescent="0.3">
      <c r="A200" s="23" t="s">
        <v>414</v>
      </c>
      <c r="B200" s="20"/>
      <c r="C200" s="20"/>
      <c r="D200" s="20"/>
      <c r="E200" s="20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>
        <v>1</v>
      </c>
      <c r="AQ200" s="3"/>
      <c r="AR200" s="3"/>
      <c r="AS200" s="3"/>
      <c r="AT200" s="3"/>
      <c r="AU200" s="3"/>
      <c r="AV200" s="3"/>
      <c r="AW200" s="3"/>
      <c r="AX200" s="3"/>
      <c r="AY200" s="3"/>
      <c r="AZ200" s="3"/>
    </row>
    <row r="201" spans="1:52" ht="13" x14ac:dyDescent="0.3">
      <c r="A201" s="23" t="s">
        <v>421</v>
      </c>
      <c r="B201" s="20"/>
      <c r="C201" s="20"/>
      <c r="D201" s="20"/>
      <c r="E201" s="20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>
        <v>1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</row>
    <row r="202" spans="1:52" ht="13" x14ac:dyDescent="0.3">
      <c r="A202" s="23" t="s">
        <v>109</v>
      </c>
      <c r="B202" s="20">
        <v>3</v>
      </c>
      <c r="C202" s="20"/>
      <c r="D202" s="20"/>
      <c r="E202" s="20"/>
      <c r="F202" s="3">
        <v>3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>
        <v>2</v>
      </c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>
        <v>2</v>
      </c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</row>
    <row r="203" spans="1:52" ht="13" x14ac:dyDescent="0.3">
      <c r="A203" s="23" t="s">
        <v>110</v>
      </c>
      <c r="B203" s="20"/>
      <c r="C203" s="20"/>
      <c r="D203" s="20"/>
      <c r="E203" s="20"/>
      <c r="F203" s="3"/>
      <c r="G203" s="3"/>
      <c r="H203" s="3"/>
      <c r="I203" s="3"/>
      <c r="J203" s="3">
        <v>2</v>
      </c>
      <c r="K203" s="3"/>
      <c r="L203" s="3"/>
      <c r="M203" s="3"/>
      <c r="N203" s="3"/>
      <c r="O203" s="3"/>
      <c r="P203" s="3"/>
      <c r="Q203" s="3">
        <v>2</v>
      </c>
      <c r="R203" s="3">
        <v>2</v>
      </c>
      <c r="S203" s="3"/>
      <c r="T203" s="3"/>
      <c r="U203" s="3"/>
      <c r="V203" s="3"/>
      <c r="W203" s="3"/>
      <c r="X203" s="3"/>
      <c r="Y203" s="3">
        <v>2</v>
      </c>
      <c r="Z203" s="3">
        <v>2</v>
      </c>
      <c r="AA203" s="3"/>
      <c r="AB203" s="3"/>
      <c r="AC203" s="3"/>
      <c r="AD203" s="3"/>
      <c r="AE203" s="3"/>
      <c r="AF203" s="3">
        <v>3</v>
      </c>
      <c r="AG203" s="3">
        <v>3</v>
      </c>
      <c r="AH203" s="3">
        <v>3</v>
      </c>
      <c r="AI203" s="3"/>
      <c r="AJ203" s="3">
        <v>3</v>
      </c>
      <c r="AK203" s="3">
        <v>2</v>
      </c>
      <c r="AL203" s="3">
        <v>3</v>
      </c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</row>
    <row r="204" spans="1:52" ht="13" x14ac:dyDescent="0.3">
      <c r="A204" s="23" t="s">
        <v>111</v>
      </c>
      <c r="B204" s="20"/>
      <c r="C204" s="20"/>
      <c r="D204" s="20"/>
      <c r="E204" s="20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>
        <v>1</v>
      </c>
      <c r="Z204" s="3">
        <v>1</v>
      </c>
      <c r="AA204" s="3"/>
      <c r="AB204" s="3"/>
      <c r="AC204" s="3">
        <v>1</v>
      </c>
      <c r="AD204" s="3">
        <v>1</v>
      </c>
      <c r="AE204" s="3"/>
      <c r="AF204" s="3"/>
      <c r="AG204" s="3"/>
      <c r="AH204" s="3"/>
      <c r="AI204" s="3"/>
      <c r="AJ204" s="3"/>
      <c r="AK204" s="3"/>
      <c r="AL204" s="3">
        <v>2</v>
      </c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</row>
    <row r="205" spans="1:52" ht="13" x14ac:dyDescent="0.3">
      <c r="A205" s="23" t="s">
        <v>112</v>
      </c>
      <c r="B205" s="20"/>
      <c r="C205" s="20"/>
      <c r="D205" s="20"/>
      <c r="E205" s="20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>
        <v>2</v>
      </c>
      <c r="Z205" s="3">
        <v>2</v>
      </c>
      <c r="AA205" s="3"/>
      <c r="AB205" s="3"/>
      <c r="AC205" s="3">
        <v>2</v>
      </c>
      <c r="AD205" s="3">
        <v>2</v>
      </c>
      <c r="AE205" s="3"/>
      <c r="AF205" s="3"/>
      <c r="AG205" s="3">
        <v>2</v>
      </c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>
        <v>2</v>
      </c>
      <c r="AT205" s="3"/>
      <c r="AU205" s="3"/>
      <c r="AV205" s="3"/>
      <c r="AW205" s="3"/>
      <c r="AX205" s="3"/>
      <c r="AY205" s="3"/>
      <c r="AZ205" s="3"/>
    </row>
    <row r="206" spans="1:52" ht="13" x14ac:dyDescent="0.3">
      <c r="A206" s="23" t="s">
        <v>289</v>
      </c>
      <c r="B206" s="20"/>
      <c r="C206" s="20"/>
      <c r="D206" s="20"/>
      <c r="E206" s="20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>
        <v>2</v>
      </c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>
        <v>2</v>
      </c>
      <c r="AR206" s="3"/>
      <c r="AS206" s="3">
        <v>2</v>
      </c>
      <c r="AT206" s="3">
        <v>2</v>
      </c>
      <c r="AU206" s="3"/>
      <c r="AV206" s="3"/>
      <c r="AW206" s="3"/>
      <c r="AX206" s="3"/>
      <c r="AY206" s="3"/>
      <c r="AZ206" s="3"/>
    </row>
    <row r="207" spans="1:52" ht="13" x14ac:dyDescent="0.3">
      <c r="A207" s="23" t="s">
        <v>444</v>
      </c>
      <c r="B207" s="20"/>
      <c r="C207" s="20"/>
      <c r="D207" s="20"/>
      <c r="E207" s="20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>
        <v>1</v>
      </c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</row>
    <row r="208" spans="1:52" ht="13" x14ac:dyDescent="0.3">
      <c r="A208" s="23" t="s">
        <v>113</v>
      </c>
      <c r="B208" s="20">
        <v>2</v>
      </c>
      <c r="C208" s="20"/>
      <c r="D208" s="20"/>
      <c r="E208" s="20"/>
      <c r="F208" s="3">
        <v>3</v>
      </c>
      <c r="G208" s="3"/>
      <c r="H208" s="3">
        <v>3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>
        <v>2</v>
      </c>
      <c r="U208" s="3">
        <v>2</v>
      </c>
      <c r="V208" s="3">
        <v>2</v>
      </c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</row>
    <row r="209" spans="1:205" ht="13" x14ac:dyDescent="0.3">
      <c r="A209" s="23" t="s">
        <v>114</v>
      </c>
      <c r="B209" s="20">
        <v>2</v>
      </c>
      <c r="C209" s="20"/>
      <c r="D209" s="20"/>
      <c r="E209" s="20"/>
      <c r="F209" s="3"/>
      <c r="G209" s="3"/>
      <c r="H209" s="3">
        <v>2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>
        <v>2</v>
      </c>
      <c r="Z209" s="3">
        <v>2</v>
      </c>
      <c r="AA209" s="3"/>
      <c r="AB209" s="3"/>
      <c r="AC209" s="3">
        <v>3</v>
      </c>
      <c r="AD209" s="3">
        <v>3</v>
      </c>
      <c r="AE209" s="3"/>
      <c r="AF209" s="3"/>
      <c r="AG209" s="3">
        <v>2</v>
      </c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</row>
    <row r="210" spans="1:205" ht="13" x14ac:dyDescent="0.3">
      <c r="A210" s="23" t="s">
        <v>403</v>
      </c>
      <c r="B210" s="20"/>
      <c r="C210" s="20"/>
      <c r="D210" s="20"/>
      <c r="E210" s="20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>
        <v>2</v>
      </c>
      <c r="AK210" s="3"/>
      <c r="AL210" s="3"/>
      <c r="AM210" s="3"/>
      <c r="AN210" s="3">
        <v>2</v>
      </c>
      <c r="AO210" s="3">
        <v>1</v>
      </c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</row>
    <row r="211" spans="1:205" ht="13" x14ac:dyDescent="0.3">
      <c r="A211" s="23" t="s">
        <v>115</v>
      </c>
      <c r="B211" s="20">
        <v>2</v>
      </c>
      <c r="C211" s="20"/>
      <c r="D211" s="20"/>
      <c r="E211" s="20"/>
      <c r="F211" s="3"/>
      <c r="G211" s="3"/>
      <c r="H211" s="3"/>
      <c r="I211" s="3"/>
      <c r="J211" s="3">
        <v>2</v>
      </c>
      <c r="K211" s="3"/>
      <c r="L211" s="3"/>
      <c r="M211" s="3"/>
      <c r="N211" s="3"/>
      <c r="O211" s="3"/>
      <c r="P211" s="3"/>
      <c r="Q211" s="3">
        <v>2</v>
      </c>
      <c r="R211" s="3">
        <v>2</v>
      </c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>
        <v>2</v>
      </c>
      <c r="AI211" s="3"/>
      <c r="AJ211" s="3"/>
      <c r="AK211" s="3"/>
      <c r="AL211" s="3">
        <v>2</v>
      </c>
      <c r="AM211" s="3"/>
      <c r="AN211" s="3">
        <v>2</v>
      </c>
      <c r="AO211" s="3"/>
      <c r="AP211" s="3"/>
      <c r="AQ211" s="3">
        <v>2</v>
      </c>
      <c r="AR211" s="3">
        <v>2</v>
      </c>
      <c r="AS211" s="3">
        <v>2</v>
      </c>
      <c r="AT211" s="3">
        <v>2</v>
      </c>
      <c r="AU211" s="3">
        <v>2</v>
      </c>
      <c r="AV211" s="3"/>
      <c r="AW211" s="3"/>
      <c r="AX211" s="3"/>
      <c r="AY211" s="3"/>
      <c r="AZ211" s="3"/>
    </row>
    <row r="212" spans="1:205" ht="13" x14ac:dyDescent="0.3">
      <c r="A212" s="23" t="s">
        <v>399</v>
      </c>
      <c r="B212" s="20"/>
      <c r="C212" s="20"/>
      <c r="D212" s="20"/>
      <c r="E212" s="20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>
        <v>2</v>
      </c>
      <c r="AM212" s="3"/>
      <c r="AN212" s="3">
        <v>2</v>
      </c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</row>
    <row r="213" spans="1:205" ht="13" x14ac:dyDescent="0.3">
      <c r="A213" s="22" t="s">
        <v>458</v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>
        <v>1</v>
      </c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</row>
    <row r="214" spans="1:205" ht="13" x14ac:dyDescent="0.3">
      <c r="A214" s="22" t="s">
        <v>481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>
        <v>1</v>
      </c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</row>
    <row r="215" spans="1:205" ht="13" x14ac:dyDescent="0.3">
      <c r="A215" s="22" t="s">
        <v>116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>
        <v>2</v>
      </c>
      <c r="V215" s="3"/>
      <c r="W215" s="3">
        <v>2</v>
      </c>
      <c r="X215" s="3">
        <v>3</v>
      </c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</row>
    <row r="216" spans="1:205" ht="13" x14ac:dyDescent="0.3">
      <c r="A216" s="22" t="s">
        <v>290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>
        <v>2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>
        <v>1</v>
      </c>
      <c r="AM216" s="3"/>
      <c r="AN216" s="3">
        <v>1</v>
      </c>
      <c r="AO216" s="3"/>
      <c r="AP216" s="3"/>
      <c r="AQ216" s="3">
        <v>2</v>
      </c>
      <c r="AR216" s="3"/>
      <c r="AS216" s="3">
        <v>2</v>
      </c>
      <c r="AT216" s="3"/>
      <c r="AU216" s="3"/>
      <c r="AV216" s="3">
        <v>2</v>
      </c>
      <c r="AW216" s="3"/>
      <c r="AX216" s="3"/>
      <c r="AY216" s="3"/>
      <c r="AZ216" s="3">
        <v>2</v>
      </c>
    </row>
    <row r="217" spans="1:205" ht="13" x14ac:dyDescent="0.3">
      <c r="A217" s="22" t="s">
        <v>470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>
        <v>1</v>
      </c>
      <c r="AG217" s="3"/>
      <c r="AH217" s="3"/>
      <c r="AI217" s="3"/>
      <c r="AJ217" s="3">
        <v>1</v>
      </c>
      <c r="AK217" s="3"/>
      <c r="AL217" s="3"/>
      <c r="AM217" s="3"/>
      <c r="AN217" s="3">
        <v>1</v>
      </c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</row>
    <row r="218" spans="1:205" ht="13" x14ac:dyDescent="0.3">
      <c r="A218" s="22" t="s">
        <v>423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2</v>
      </c>
      <c r="AD218" s="3">
        <v>2</v>
      </c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</row>
    <row r="219" spans="1:205" ht="13" x14ac:dyDescent="0.3">
      <c r="A219" s="22" t="s">
        <v>291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>
        <v>2</v>
      </c>
      <c r="AT219" s="3">
        <v>2</v>
      </c>
      <c r="AU219" s="3"/>
      <c r="AV219" s="3">
        <v>2</v>
      </c>
      <c r="AW219" s="3">
        <v>2</v>
      </c>
      <c r="AX219" s="3"/>
      <c r="AY219" s="3"/>
      <c r="AZ219" s="3"/>
    </row>
    <row r="220" spans="1:205" s="4" customFormat="1" ht="13" x14ac:dyDescent="0.3">
      <c r="A220" s="22" t="s">
        <v>117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>
        <v>2</v>
      </c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>
        <v>3</v>
      </c>
      <c r="AA220" s="3">
        <v>1</v>
      </c>
      <c r="AB220" s="3">
        <v>3</v>
      </c>
      <c r="AC220" s="3"/>
      <c r="AD220" s="3"/>
      <c r="AE220" s="3">
        <v>2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>
        <v>2</v>
      </c>
      <c r="AR220" s="3"/>
      <c r="AS220" s="3"/>
      <c r="AT220" s="3"/>
      <c r="AU220" s="3">
        <v>2</v>
      </c>
      <c r="AV220" s="3"/>
      <c r="AW220" s="3"/>
      <c r="AX220" s="3"/>
      <c r="AY220" s="3"/>
      <c r="AZ220" s="3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</row>
    <row r="221" spans="1:205" s="4" customFormat="1" ht="13" x14ac:dyDescent="0.3">
      <c r="A221" s="22" t="s">
        <v>292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>
        <v>2</v>
      </c>
      <c r="AT221" s="3">
        <v>2</v>
      </c>
      <c r="AU221" s="3"/>
      <c r="AV221" s="3"/>
      <c r="AW221" s="3">
        <v>2</v>
      </c>
      <c r="AX221" s="3">
        <v>2</v>
      </c>
      <c r="AY221" s="3"/>
      <c r="AZ221" s="3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</row>
    <row r="222" spans="1:205" s="4" customFormat="1" ht="13" x14ac:dyDescent="0.3">
      <c r="A222" s="22" t="s">
        <v>293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>
        <v>1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>
        <v>1</v>
      </c>
      <c r="AM222" s="3"/>
      <c r="AN222" s="3">
        <v>1</v>
      </c>
      <c r="AO222" s="3"/>
      <c r="AP222" s="3"/>
      <c r="AQ222" s="3">
        <v>2</v>
      </c>
      <c r="AR222" s="3"/>
      <c r="AS222" s="3">
        <v>2</v>
      </c>
      <c r="AT222" s="3">
        <v>2</v>
      </c>
      <c r="AU222" s="3"/>
      <c r="AV222" s="3">
        <v>2</v>
      </c>
      <c r="AW222" s="3"/>
      <c r="AX222" s="3"/>
      <c r="AY222" s="3"/>
      <c r="AZ222" s="3">
        <v>2</v>
      </c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</row>
    <row r="223" spans="1:205" s="4" customFormat="1" ht="13" x14ac:dyDescent="0.3">
      <c r="A223" s="22" t="s">
        <v>294</v>
      </c>
      <c r="B223" s="3"/>
      <c r="C223" s="3"/>
      <c r="D223" s="3"/>
      <c r="E223" s="3"/>
      <c r="F223" s="3"/>
      <c r="G223" s="3"/>
      <c r="H223" s="3"/>
      <c r="I223" s="3"/>
      <c r="J223" s="3">
        <v>2</v>
      </c>
      <c r="K223" s="3"/>
      <c r="L223" s="3"/>
      <c r="M223" s="3"/>
      <c r="N223" s="3"/>
      <c r="O223" s="3"/>
      <c r="P223" s="3"/>
      <c r="Q223" s="3">
        <v>2</v>
      </c>
      <c r="R223" s="3">
        <v>2</v>
      </c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>
        <v>2</v>
      </c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</row>
    <row r="224" spans="1:205" s="4" customFormat="1" ht="13" x14ac:dyDescent="0.3">
      <c r="A224" s="22" t="s">
        <v>295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>
        <v>2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>
        <v>2</v>
      </c>
      <c r="AX224" s="3"/>
      <c r="AY224" s="3"/>
      <c r="AZ224" s="3">
        <v>2</v>
      </c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</row>
    <row r="225" spans="1:207" s="4" customFormat="1" ht="13" x14ac:dyDescent="0.3">
      <c r="A225" s="22" t="s">
        <v>296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>
        <v>2</v>
      </c>
      <c r="AX225" s="3"/>
      <c r="AY225" s="3"/>
      <c r="AZ225" s="3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</row>
    <row r="226" spans="1:207" s="4" customFormat="1" ht="13" x14ac:dyDescent="0.3">
      <c r="A226" s="22" t="s">
        <v>471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>
        <v>1</v>
      </c>
      <c r="AX226" s="3"/>
      <c r="AY226" s="3"/>
      <c r="AZ226" s="3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</row>
    <row r="227" spans="1:207" s="4" customFormat="1" ht="13" x14ac:dyDescent="0.3">
      <c r="A227" s="22" t="s">
        <v>456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>
        <v>1</v>
      </c>
      <c r="AG227" s="3"/>
      <c r="AH227" s="3"/>
      <c r="AI227" s="3"/>
      <c r="AJ227" s="3">
        <v>1</v>
      </c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</row>
    <row r="228" spans="1:207" s="4" customFormat="1" ht="13" x14ac:dyDescent="0.3">
      <c r="A228" s="22" t="s">
        <v>465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>
        <v>1</v>
      </c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</row>
    <row r="229" spans="1:207" s="4" customFormat="1" ht="13" x14ac:dyDescent="0.3">
      <c r="A229" s="22" t="s">
        <v>453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>
        <v>1</v>
      </c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</row>
    <row r="230" spans="1:207" s="4" customFormat="1" ht="13" x14ac:dyDescent="0.3">
      <c r="A230" s="22" t="s">
        <v>484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2</v>
      </c>
      <c r="AD230" s="3">
        <v>2</v>
      </c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</row>
    <row r="231" spans="1:207" s="4" customFormat="1" ht="13" x14ac:dyDescent="0.3">
      <c r="A231" s="22" t="s">
        <v>297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>
        <v>2</v>
      </c>
      <c r="AR231" s="3"/>
      <c r="AS231" s="3"/>
      <c r="AT231" s="3"/>
      <c r="AU231" s="3">
        <v>2</v>
      </c>
      <c r="AV231" s="3"/>
      <c r="AW231" s="3">
        <v>2</v>
      </c>
      <c r="AX231" s="3">
        <v>2</v>
      </c>
      <c r="AY231" s="3"/>
      <c r="AZ231" s="3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</row>
    <row r="232" spans="1:207" s="4" customFormat="1" ht="13" x14ac:dyDescent="0.3">
      <c r="A232" s="22" t="s">
        <v>298</v>
      </c>
      <c r="B232" s="3"/>
      <c r="C232" s="3"/>
      <c r="D232" s="3"/>
      <c r="E232" s="3"/>
      <c r="F232" s="3"/>
      <c r="G232" s="3"/>
      <c r="H232" s="3"/>
      <c r="I232" s="3"/>
      <c r="J232" s="25">
        <v>3</v>
      </c>
      <c r="K232" s="3">
        <v>2</v>
      </c>
      <c r="L232" s="3"/>
      <c r="M232" s="3">
        <v>2</v>
      </c>
      <c r="N232" s="3"/>
      <c r="O232" s="3">
        <v>2</v>
      </c>
      <c r="P232" s="3">
        <v>2</v>
      </c>
      <c r="Q232" s="3">
        <v>2</v>
      </c>
      <c r="R232" s="3">
        <v>3</v>
      </c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>
        <v>3</v>
      </c>
      <c r="AI232" s="3"/>
      <c r="AJ232" s="3"/>
      <c r="AK232" s="3"/>
      <c r="AL232" s="3">
        <v>3</v>
      </c>
      <c r="AM232" s="3"/>
      <c r="AN232" s="3">
        <v>2</v>
      </c>
      <c r="AO232" s="3"/>
      <c r="AP232" s="3"/>
      <c r="AQ232" s="3"/>
      <c r="AR232" s="3"/>
      <c r="AS232" s="3">
        <v>1</v>
      </c>
      <c r="AT232" s="3"/>
      <c r="AU232" s="3"/>
      <c r="AV232" s="3"/>
      <c r="AW232" s="3"/>
      <c r="AX232" s="3"/>
      <c r="AY232" s="3"/>
      <c r="AZ232" s="3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</row>
    <row r="233" spans="1:207" s="4" customFormat="1" ht="13" x14ac:dyDescent="0.3">
      <c r="A233" s="22" t="s">
        <v>299</v>
      </c>
      <c r="B233" s="3"/>
      <c r="C233" s="3"/>
      <c r="D233" s="3"/>
      <c r="E233" s="3"/>
      <c r="F233" s="3"/>
      <c r="G233" s="3">
        <v>2</v>
      </c>
      <c r="H233" s="3"/>
      <c r="I233" s="3">
        <v>2</v>
      </c>
      <c r="J233" s="3"/>
      <c r="K233" s="3"/>
      <c r="L233" s="3"/>
      <c r="M233" s="3"/>
      <c r="N233" s="3"/>
      <c r="O233" s="3"/>
      <c r="P233" s="3"/>
      <c r="Q233" s="3"/>
      <c r="R233" s="3"/>
      <c r="S233" s="3">
        <v>3</v>
      </c>
      <c r="T233" s="3"/>
      <c r="U233" s="3"/>
      <c r="V233" s="3"/>
      <c r="W233" s="3">
        <v>2</v>
      </c>
      <c r="X233" s="3"/>
      <c r="Y233" s="3">
        <v>2</v>
      </c>
      <c r="Z233" s="3"/>
      <c r="AA233" s="3">
        <v>2</v>
      </c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</row>
    <row r="234" spans="1:207" s="4" customFormat="1" ht="13" x14ac:dyDescent="0.3">
      <c r="A234" s="22" t="s">
        <v>300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>
        <v>2</v>
      </c>
      <c r="AR234" s="3"/>
      <c r="AS234" s="3"/>
      <c r="AT234" s="3"/>
      <c r="AU234" s="3"/>
      <c r="AV234" s="3"/>
      <c r="AW234" s="3"/>
      <c r="AX234" s="3"/>
      <c r="AY234" s="3"/>
      <c r="AZ234" s="3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</row>
    <row r="235" spans="1:207" s="4" customFormat="1" ht="13" x14ac:dyDescent="0.3">
      <c r="A235" s="22" t="s">
        <v>120</v>
      </c>
      <c r="B235" s="3">
        <v>3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>
        <v>2</v>
      </c>
      <c r="Z235" s="3">
        <v>2</v>
      </c>
      <c r="AA235" s="3"/>
      <c r="AB235" s="3"/>
      <c r="AC235" s="3">
        <v>2</v>
      </c>
      <c r="AD235" s="3">
        <v>2</v>
      </c>
      <c r="AE235" s="3"/>
      <c r="AF235" s="3"/>
      <c r="AG235" s="3">
        <v>2</v>
      </c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</row>
    <row r="236" spans="1:207" s="4" customFormat="1" ht="13" x14ac:dyDescent="0.3">
      <c r="A236" s="22" t="s">
        <v>301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>
        <v>2</v>
      </c>
      <c r="AR236" s="3"/>
      <c r="AS236" s="3"/>
      <c r="AT236" s="3"/>
      <c r="AU236" s="3">
        <v>2</v>
      </c>
      <c r="AV236" s="3"/>
      <c r="AW236" s="3"/>
      <c r="AX236" s="3">
        <v>2</v>
      </c>
      <c r="AY236" s="3"/>
      <c r="AZ236" s="3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</row>
    <row r="237" spans="1:207" ht="13" x14ac:dyDescent="0.3">
      <c r="A237" s="22" t="s">
        <v>302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>
        <v>2</v>
      </c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>
        <v>2</v>
      </c>
      <c r="AT237" s="3"/>
      <c r="AU237" s="3"/>
      <c r="AV237" s="3"/>
      <c r="AW237" s="3"/>
      <c r="AX237" s="3"/>
      <c r="AY237" s="3">
        <v>1</v>
      </c>
      <c r="AZ237" s="3"/>
    </row>
    <row r="238" spans="1:207" ht="13" x14ac:dyDescent="0.3">
      <c r="A238" s="22" t="s">
        <v>410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>
        <v>2</v>
      </c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>
        <v>2</v>
      </c>
      <c r="AT238" s="3"/>
      <c r="AU238" s="3"/>
      <c r="AV238" s="3"/>
      <c r="AW238" s="3"/>
      <c r="AX238" s="3"/>
      <c r="AY238" s="3"/>
      <c r="AZ238" s="3"/>
    </row>
    <row r="239" spans="1:207" ht="13" x14ac:dyDescent="0.3">
      <c r="A239" s="23" t="s">
        <v>303</v>
      </c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>
        <v>2</v>
      </c>
      <c r="AR239" s="20"/>
      <c r="AS239" s="20"/>
      <c r="AT239" s="20">
        <v>2</v>
      </c>
      <c r="AU239" s="20">
        <v>2</v>
      </c>
      <c r="AV239" s="20">
        <v>2</v>
      </c>
      <c r="AW239" s="20"/>
      <c r="AX239" s="20"/>
      <c r="AY239" s="20"/>
      <c r="AZ239" s="20"/>
    </row>
    <row r="240" spans="1:207" ht="13" x14ac:dyDescent="0.3">
      <c r="A240" s="22" t="s">
        <v>304</v>
      </c>
      <c r="B240" s="3"/>
      <c r="C240" s="3"/>
      <c r="D240" s="3"/>
      <c r="E240" s="3"/>
      <c r="F240" s="3"/>
      <c r="G240" s="3"/>
      <c r="H240" s="3"/>
      <c r="I240" s="3"/>
      <c r="J240" s="3">
        <v>2</v>
      </c>
      <c r="K240" s="3"/>
      <c r="L240" s="3"/>
      <c r="M240" s="3"/>
      <c r="N240" s="3"/>
      <c r="O240" s="3"/>
      <c r="P240" s="3"/>
      <c r="Q240" s="3">
        <v>2</v>
      </c>
      <c r="R240" s="3">
        <v>2</v>
      </c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>
        <v>2</v>
      </c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</row>
    <row r="241" spans="1:52" ht="13" x14ac:dyDescent="0.3">
      <c r="A241" s="22" t="s">
        <v>466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>
        <v>1</v>
      </c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</row>
    <row r="242" spans="1:52" ht="13" x14ac:dyDescent="0.3">
      <c r="A242" s="22" t="s">
        <v>305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2</v>
      </c>
      <c r="AY242" s="3"/>
      <c r="AZ242" s="3"/>
    </row>
    <row r="243" spans="1:52" ht="13" x14ac:dyDescent="0.3">
      <c r="A243" s="22" t="s">
        <v>123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>
        <v>2</v>
      </c>
      <c r="AG243" s="3">
        <v>2</v>
      </c>
      <c r="AH243" s="3">
        <v>2</v>
      </c>
      <c r="AI243" s="3"/>
      <c r="AJ243" s="3"/>
      <c r="AK243" s="3">
        <v>1</v>
      </c>
      <c r="AL243" s="3">
        <v>2</v>
      </c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</row>
    <row r="244" spans="1:52" ht="13" x14ac:dyDescent="0.3">
      <c r="A244" s="22" t="s">
        <v>124</v>
      </c>
      <c r="B244" s="3">
        <v>2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>
        <v>3</v>
      </c>
      <c r="Z244" s="3"/>
      <c r="AA244" s="3">
        <v>3</v>
      </c>
      <c r="AB244" s="3">
        <v>2</v>
      </c>
      <c r="AC244" s="3">
        <v>2</v>
      </c>
      <c r="AD244" s="3">
        <v>2</v>
      </c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>
        <v>2</v>
      </c>
      <c r="AR244" s="3">
        <v>2</v>
      </c>
      <c r="AS244" s="3">
        <v>2</v>
      </c>
      <c r="AT244" s="3">
        <v>2</v>
      </c>
      <c r="AU244" s="3">
        <v>2</v>
      </c>
      <c r="AV244" s="3">
        <v>2</v>
      </c>
      <c r="AW244" s="3">
        <v>2</v>
      </c>
      <c r="AX244" s="3">
        <v>3</v>
      </c>
      <c r="AY244" s="3"/>
      <c r="AZ244" s="3"/>
    </row>
    <row r="245" spans="1:52" ht="13" x14ac:dyDescent="0.3">
      <c r="A245" s="22" t="s">
        <v>407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>
        <v>1</v>
      </c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>
        <v>2</v>
      </c>
      <c r="AR245" s="3"/>
      <c r="AS245" s="3"/>
      <c r="AT245" s="3"/>
      <c r="AU245" s="3"/>
      <c r="AV245" s="3"/>
      <c r="AW245" s="3"/>
      <c r="AX245" s="3"/>
      <c r="AY245" s="3"/>
      <c r="AZ245" s="3"/>
    </row>
    <row r="246" spans="1:52" ht="13" x14ac:dyDescent="0.3">
      <c r="A246" s="22" t="s">
        <v>306</v>
      </c>
      <c r="B246" s="3">
        <v>3</v>
      </c>
      <c r="C246" s="3"/>
      <c r="D246" s="3"/>
      <c r="E246" s="3"/>
      <c r="F246" s="3">
        <v>3</v>
      </c>
      <c r="G246" s="3"/>
      <c r="H246" s="3">
        <v>3</v>
      </c>
      <c r="I246" s="3"/>
      <c r="J246" s="3"/>
      <c r="K246" s="3"/>
      <c r="L246" s="3">
        <v>3</v>
      </c>
      <c r="M246" s="3"/>
      <c r="N246" s="3"/>
      <c r="O246" s="3"/>
      <c r="P246" s="3"/>
      <c r="Q246" s="3"/>
      <c r="R246" s="3"/>
      <c r="S246" s="3"/>
      <c r="T246" s="3">
        <v>3</v>
      </c>
      <c r="U246" s="3">
        <v>3</v>
      </c>
      <c r="V246" s="3"/>
      <c r="W246" s="3"/>
      <c r="X246" s="3"/>
      <c r="Y246" s="3">
        <v>3</v>
      </c>
      <c r="Z246" s="3">
        <v>3</v>
      </c>
      <c r="AA246" s="3">
        <v>3</v>
      </c>
      <c r="AB246" s="3">
        <v>3</v>
      </c>
      <c r="AC246" s="3">
        <v>3</v>
      </c>
      <c r="AD246" s="3">
        <v>3</v>
      </c>
      <c r="AE246" s="3">
        <v>3</v>
      </c>
      <c r="AF246" s="3">
        <v>3</v>
      </c>
      <c r="AG246" s="3">
        <v>3</v>
      </c>
      <c r="AH246" s="3"/>
      <c r="AI246" s="3"/>
      <c r="AJ246" s="3">
        <v>3</v>
      </c>
      <c r="AK246" s="3">
        <v>3</v>
      </c>
      <c r="AL246" s="3"/>
      <c r="AM246" s="3"/>
      <c r="AN246" s="3">
        <v>3</v>
      </c>
      <c r="AO246" s="3"/>
      <c r="AP246" s="3"/>
      <c r="AQ246" s="3">
        <v>3</v>
      </c>
      <c r="AR246" s="3">
        <v>3</v>
      </c>
      <c r="AS246" s="3">
        <v>3</v>
      </c>
      <c r="AT246" s="3">
        <v>3</v>
      </c>
      <c r="AU246" s="3">
        <v>3</v>
      </c>
      <c r="AV246" s="3">
        <v>3</v>
      </c>
      <c r="AW246" s="3">
        <v>3</v>
      </c>
      <c r="AX246" s="3">
        <v>3</v>
      </c>
      <c r="AY246" s="3"/>
      <c r="AZ246" s="3">
        <v>3</v>
      </c>
    </row>
    <row r="247" spans="1:52" ht="13" x14ac:dyDescent="0.3">
      <c r="A247" s="22" t="s">
        <v>125</v>
      </c>
      <c r="B247" s="3">
        <v>2</v>
      </c>
      <c r="C247" s="3"/>
      <c r="D247" s="3"/>
      <c r="E247" s="3"/>
      <c r="F247" s="3"/>
      <c r="G247" s="3"/>
      <c r="H247" s="3"/>
      <c r="I247" s="3"/>
      <c r="J247" s="3">
        <v>2</v>
      </c>
      <c r="K247" s="3"/>
      <c r="L247" s="3"/>
      <c r="M247" s="3"/>
      <c r="N247" s="3"/>
      <c r="O247" s="3"/>
      <c r="P247" s="3"/>
      <c r="Q247" s="3"/>
      <c r="R247" s="3">
        <v>2</v>
      </c>
      <c r="S247" s="3"/>
      <c r="T247" s="3"/>
      <c r="U247" s="3"/>
      <c r="V247" s="3"/>
      <c r="W247" s="3"/>
      <c r="X247" s="3">
        <v>2</v>
      </c>
      <c r="Y247" s="3"/>
      <c r="Z247" s="3"/>
      <c r="AA247" s="3"/>
      <c r="AB247" s="3"/>
      <c r="AC247" s="3"/>
      <c r="AD247" s="3"/>
      <c r="AE247" s="3"/>
      <c r="AF247" s="3"/>
      <c r="AG247" s="3"/>
      <c r="AH247" s="3">
        <v>2</v>
      </c>
      <c r="AI247" s="3"/>
      <c r="AJ247" s="3"/>
      <c r="AK247" s="3"/>
      <c r="AL247" s="3"/>
      <c r="AM247" s="3"/>
      <c r="AN247" s="3"/>
      <c r="AO247" s="3"/>
      <c r="AP247" s="3"/>
      <c r="AQ247" s="3">
        <v>2</v>
      </c>
      <c r="AR247" s="3"/>
      <c r="AS247" s="3"/>
      <c r="AT247" s="3"/>
      <c r="AU247" s="3">
        <v>2</v>
      </c>
      <c r="AV247" s="3"/>
      <c r="AW247" s="3"/>
      <c r="AX247" s="3"/>
      <c r="AY247" s="3"/>
      <c r="AZ247" s="3"/>
    </row>
    <row r="248" spans="1:52" ht="13" x14ac:dyDescent="0.3">
      <c r="A248" s="22" t="s">
        <v>307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>
        <v>2</v>
      </c>
      <c r="AR248" s="3"/>
      <c r="AS248" s="3">
        <v>2</v>
      </c>
      <c r="AT248" s="3">
        <v>2</v>
      </c>
      <c r="AU248" s="3"/>
      <c r="AV248" s="3"/>
      <c r="AW248" s="3"/>
      <c r="AX248" s="3"/>
      <c r="AY248" s="3"/>
      <c r="AZ248" s="3"/>
    </row>
    <row r="249" spans="1:52" ht="13" x14ac:dyDescent="0.3">
      <c r="A249" s="22" t="s">
        <v>379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>
        <v>2</v>
      </c>
      <c r="AT249" s="3"/>
      <c r="AU249" s="3"/>
      <c r="AV249" s="3"/>
      <c r="AW249" s="3"/>
      <c r="AX249" s="3"/>
      <c r="AY249" s="3"/>
      <c r="AZ249" s="3"/>
    </row>
    <row r="250" spans="1:52" ht="13" x14ac:dyDescent="0.3">
      <c r="A250" s="22" t="s">
        <v>308</v>
      </c>
      <c r="B250" s="3">
        <v>3</v>
      </c>
      <c r="C250" s="3">
        <v>3</v>
      </c>
      <c r="D250" s="3">
        <v>3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>
        <v>2</v>
      </c>
      <c r="AR250" s="3"/>
      <c r="AS250" s="3"/>
      <c r="AT250" s="3">
        <v>2</v>
      </c>
      <c r="AU250" s="3">
        <v>2</v>
      </c>
      <c r="AV250" s="3"/>
      <c r="AW250" s="3"/>
      <c r="AX250" s="3"/>
      <c r="AY250" s="3"/>
      <c r="AZ250" s="3"/>
    </row>
    <row r="251" spans="1:52" ht="13" x14ac:dyDescent="0.3">
      <c r="A251" s="22" t="s">
        <v>309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>
        <v>2</v>
      </c>
      <c r="AV251" s="3"/>
      <c r="AW251" s="3">
        <v>2</v>
      </c>
      <c r="AX251" s="3"/>
      <c r="AY251" s="3"/>
      <c r="AZ251" s="3"/>
    </row>
    <row r="252" spans="1:52" ht="13" x14ac:dyDescent="0.3">
      <c r="A252" s="22" t="s">
        <v>310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>
        <v>2</v>
      </c>
      <c r="AX252" s="3">
        <v>1</v>
      </c>
      <c r="AY252" s="3"/>
      <c r="AZ252" s="3"/>
    </row>
    <row r="253" spans="1:52" ht="13" x14ac:dyDescent="0.3">
      <c r="A253" s="22" t="s">
        <v>311</v>
      </c>
      <c r="B253" s="3"/>
      <c r="C253" s="3"/>
      <c r="D253" s="3"/>
      <c r="E253" s="3"/>
      <c r="F253" s="3"/>
      <c r="G253" s="3"/>
      <c r="H253" s="3"/>
      <c r="I253" s="3"/>
      <c r="J253" s="3">
        <v>2</v>
      </c>
      <c r="K253" s="3"/>
      <c r="L253" s="3"/>
      <c r="M253" s="3"/>
      <c r="N253" s="3"/>
      <c r="O253" s="3"/>
      <c r="P253" s="3"/>
      <c r="Q253" s="3">
        <v>2</v>
      </c>
      <c r="R253" s="3">
        <v>2</v>
      </c>
      <c r="S253" s="3"/>
      <c r="T253" s="3"/>
      <c r="U253" s="3"/>
      <c r="V253" s="3"/>
      <c r="W253" s="3"/>
      <c r="X253" s="3"/>
      <c r="Y253" s="3"/>
      <c r="Z253" s="3">
        <v>1</v>
      </c>
      <c r="AA253" s="3"/>
      <c r="AB253" s="3"/>
      <c r="AC253" s="3"/>
      <c r="AD253" s="3"/>
      <c r="AE253" s="3"/>
      <c r="AF253" s="3"/>
      <c r="AG253" s="3"/>
      <c r="AH253" s="3">
        <v>2</v>
      </c>
      <c r="AI253" s="3"/>
      <c r="AJ253" s="3"/>
      <c r="AK253" s="3"/>
      <c r="AL253" s="3"/>
      <c r="AM253" s="3"/>
      <c r="AN253" s="3">
        <v>1</v>
      </c>
      <c r="AO253" s="3"/>
      <c r="AP253" s="3"/>
      <c r="AQ253" s="3">
        <v>1</v>
      </c>
      <c r="AR253" s="3"/>
      <c r="AS253" s="3">
        <v>2</v>
      </c>
      <c r="AT253" s="3">
        <v>2</v>
      </c>
      <c r="AU253" s="3">
        <v>2</v>
      </c>
      <c r="AV253" s="3">
        <v>2</v>
      </c>
      <c r="AW253" s="3">
        <v>2</v>
      </c>
      <c r="AX253" s="3"/>
      <c r="AY253" s="3"/>
      <c r="AZ253" s="3"/>
    </row>
    <row r="254" spans="1:52" ht="13" x14ac:dyDescent="0.3">
      <c r="A254" s="22" t="s">
        <v>445</v>
      </c>
      <c r="B254" s="3"/>
      <c r="C254" s="3"/>
      <c r="D254" s="3"/>
      <c r="E254" s="3"/>
      <c r="F254" s="3">
        <v>1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</row>
    <row r="255" spans="1:52" ht="13" x14ac:dyDescent="0.3">
      <c r="A255" s="22" t="s">
        <v>312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>
        <v>2</v>
      </c>
      <c r="Z255" s="3">
        <v>2</v>
      </c>
      <c r="AA255" s="3"/>
      <c r="AB255" s="3"/>
      <c r="AC255" s="3">
        <v>2</v>
      </c>
      <c r="AD255" s="3">
        <v>2</v>
      </c>
      <c r="AE255" s="3"/>
      <c r="AF255" s="3"/>
      <c r="AG255" s="3">
        <v>2</v>
      </c>
      <c r="AH255" s="3"/>
      <c r="AI255" s="3"/>
      <c r="AJ255" s="3"/>
      <c r="AK255" s="3"/>
      <c r="AL255" s="3"/>
      <c r="AM255" s="3"/>
      <c r="AN255" s="3"/>
      <c r="AO255" s="3"/>
      <c r="AP255" s="3"/>
      <c r="AQ255" s="3">
        <v>1</v>
      </c>
      <c r="AR255" s="3"/>
      <c r="AS255" s="3">
        <v>1</v>
      </c>
      <c r="AT255" s="3"/>
      <c r="AU255" s="3"/>
      <c r="AV255" s="3"/>
      <c r="AW255" s="3"/>
      <c r="AX255" s="3"/>
      <c r="AY255" s="3"/>
      <c r="AZ255" s="3"/>
    </row>
    <row r="256" spans="1:52" ht="13" x14ac:dyDescent="0.3">
      <c r="A256" s="22" t="s">
        <v>127</v>
      </c>
      <c r="B256" s="3">
        <v>2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>
        <v>2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>
        <v>3</v>
      </c>
      <c r="AA256" s="3">
        <v>2</v>
      </c>
      <c r="AB256" s="24">
        <v>3</v>
      </c>
      <c r="AC256" s="3">
        <v>2</v>
      </c>
      <c r="AD256" s="3">
        <v>2</v>
      </c>
      <c r="AE256" s="3"/>
      <c r="AF256" s="3"/>
      <c r="AG256" s="3"/>
      <c r="AH256" s="3"/>
      <c r="AI256" s="3"/>
      <c r="AJ256" s="3"/>
      <c r="AK256" s="3"/>
      <c r="AL256" s="3">
        <v>2</v>
      </c>
      <c r="AM256" s="3"/>
      <c r="AN256" s="3">
        <v>2</v>
      </c>
      <c r="AO256" s="3"/>
      <c r="AP256" s="3"/>
      <c r="AQ256" s="3"/>
      <c r="AR256" s="3">
        <v>2</v>
      </c>
      <c r="AS256" s="3">
        <v>2</v>
      </c>
      <c r="AT256" s="3">
        <v>2</v>
      </c>
      <c r="AU256" s="3">
        <v>2</v>
      </c>
      <c r="AV256" s="3"/>
      <c r="AW256" s="3"/>
      <c r="AX256" s="3"/>
      <c r="AY256" s="3"/>
      <c r="AZ256" s="3"/>
    </row>
    <row r="257" spans="1:52" ht="13" x14ac:dyDescent="0.3">
      <c r="A257" s="22" t="s">
        <v>313</v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>
        <v>2</v>
      </c>
      <c r="AT257" s="3"/>
      <c r="AU257" s="3"/>
      <c r="AV257" s="3"/>
      <c r="AW257" s="3"/>
      <c r="AX257" s="3"/>
      <c r="AY257" s="3"/>
      <c r="AZ257" s="3"/>
    </row>
    <row r="258" spans="1:52" ht="13" x14ac:dyDescent="0.3">
      <c r="A258" s="22" t="s">
        <v>314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2</v>
      </c>
      <c r="AY258" s="3"/>
      <c r="AZ258" s="3"/>
    </row>
    <row r="259" spans="1:52" ht="13" x14ac:dyDescent="0.3">
      <c r="A259" s="22" t="s">
        <v>129</v>
      </c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>
        <v>2</v>
      </c>
      <c r="Y259" s="3"/>
      <c r="Z259" s="3">
        <v>3</v>
      </c>
      <c r="AA259" s="3">
        <v>2</v>
      </c>
      <c r="AB259" s="3">
        <v>3</v>
      </c>
      <c r="AC259" s="3">
        <v>2</v>
      </c>
      <c r="AD259" s="3">
        <v>2</v>
      </c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>
        <v>2</v>
      </c>
      <c r="AT259" s="3"/>
      <c r="AU259" s="3"/>
      <c r="AV259" s="3"/>
      <c r="AW259" s="3"/>
      <c r="AX259" s="3">
        <v>2</v>
      </c>
      <c r="AY259" s="3"/>
      <c r="AZ259" s="3"/>
    </row>
    <row r="260" spans="1:52" ht="13" x14ac:dyDescent="0.3">
      <c r="A260" s="22" t="s">
        <v>315</v>
      </c>
      <c r="B260" s="3"/>
      <c r="C260" s="3"/>
      <c r="D260" s="3">
        <v>2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>
        <v>2</v>
      </c>
      <c r="AT260" s="3"/>
      <c r="AU260" s="3"/>
      <c r="AV260" s="3"/>
      <c r="AW260" s="3"/>
      <c r="AX260" s="3"/>
      <c r="AY260" s="3"/>
      <c r="AZ260" s="3"/>
    </row>
    <row r="261" spans="1:52" ht="13" x14ac:dyDescent="0.3">
      <c r="A261" s="22" t="s">
        <v>316</v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>
        <v>2</v>
      </c>
      <c r="AM261" s="3"/>
      <c r="AN261" s="3"/>
      <c r="AO261" s="3"/>
      <c r="AP261" s="3"/>
      <c r="AQ261" s="3">
        <v>2</v>
      </c>
      <c r="AR261" s="3">
        <v>2</v>
      </c>
      <c r="AS261" s="3"/>
      <c r="AT261" s="3"/>
      <c r="AU261" s="3">
        <v>2</v>
      </c>
      <c r="AV261" s="3"/>
      <c r="AW261" s="3"/>
      <c r="AX261" s="3"/>
      <c r="AY261" s="3"/>
      <c r="AZ261" s="3"/>
    </row>
    <row r="262" spans="1:52" ht="13" x14ac:dyDescent="0.3">
      <c r="A262" s="22" t="s">
        <v>472</v>
      </c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>
        <v>1</v>
      </c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</row>
    <row r="263" spans="1:52" ht="13" x14ac:dyDescent="0.3">
      <c r="A263" s="22" t="s">
        <v>130</v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>
        <v>2</v>
      </c>
      <c r="P263" s="3"/>
      <c r="Q263" s="3"/>
      <c r="R263" s="3"/>
      <c r="S263" s="3"/>
      <c r="T263" s="3"/>
      <c r="U263" s="3"/>
      <c r="V263" s="3"/>
      <c r="W263" s="3"/>
      <c r="X263" s="3"/>
      <c r="Y263" s="3">
        <v>2</v>
      </c>
      <c r="Z263" s="3">
        <v>2</v>
      </c>
      <c r="AA263" s="3"/>
      <c r="AB263" s="3"/>
      <c r="AC263" s="3">
        <v>2</v>
      </c>
      <c r="AD263" s="3">
        <v>2</v>
      </c>
      <c r="AE263" s="3"/>
      <c r="AF263" s="3">
        <v>2</v>
      </c>
      <c r="AG263" s="3">
        <v>2</v>
      </c>
      <c r="AH263" s="3"/>
      <c r="AI263" s="3"/>
      <c r="AJ263" s="3">
        <v>2</v>
      </c>
      <c r="AK263" s="3">
        <v>2</v>
      </c>
      <c r="AL263" s="3">
        <v>2</v>
      </c>
      <c r="AM263" s="3"/>
      <c r="AN263" s="3">
        <v>2</v>
      </c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</row>
    <row r="264" spans="1:52" ht="13" x14ac:dyDescent="0.3">
      <c r="A264" s="22" t="s">
        <v>317</v>
      </c>
      <c r="B264" s="3"/>
      <c r="C264" s="3"/>
      <c r="D264" s="3"/>
      <c r="E264" s="3"/>
      <c r="F264" s="3"/>
      <c r="G264" s="3"/>
      <c r="H264" s="3"/>
      <c r="I264" s="3"/>
      <c r="J264" s="3">
        <v>2</v>
      </c>
      <c r="K264" s="3"/>
      <c r="L264" s="3"/>
      <c r="M264" s="3"/>
      <c r="N264" s="3"/>
      <c r="O264" s="3"/>
      <c r="P264" s="3"/>
      <c r="Q264" s="3"/>
      <c r="R264" s="3">
        <v>2</v>
      </c>
      <c r="S264" s="3"/>
      <c r="T264" s="3">
        <v>2</v>
      </c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>
        <v>2</v>
      </c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</row>
    <row r="265" spans="1:52" ht="13" x14ac:dyDescent="0.3">
      <c r="A265" s="22" t="s">
        <v>402</v>
      </c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>
        <v>2</v>
      </c>
      <c r="AM265" s="3"/>
      <c r="AN265" s="3">
        <v>2</v>
      </c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</row>
    <row r="266" spans="1:52" ht="13" x14ac:dyDescent="0.3">
      <c r="A266" s="22" t="s">
        <v>394</v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>
        <v>2</v>
      </c>
      <c r="AT266" s="3"/>
      <c r="AU266" s="3"/>
      <c r="AV266" s="3"/>
      <c r="AW266" s="3"/>
      <c r="AX266" s="3"/>
      <c r="AY266" s="3"/>
      <c r="AZ266" s="3"/>
    </row>
    <row r="267" spans="1:52" ht="13" x14ac:dyDescent="0.3">
      <c r="A267" s="23" t="s">
        <v>318</v>
      </c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>
        <v>2</v>
      </c>
      <c r="AR267" s="20"/>
      <c r="AS267" s="20"/>
      <c r="AT267" s="20">
        <v>2</v>
      </c>
      <c r="AU267" s="20"/>
      <c r="AV267" s="20">
        <v>2</v>
      </c>
      <c r="AW267" s="20">
        <v>2</v>
      </c>
      <c r="AX267" s="20">
        <v>2</v>
      </c>
      <c r="AY267" s="20"/>
      <c r="AZ267" s="20"/>
    </row>
    <row r="268" spans="1:52" ht="13" x14ac:dyDescent="0.3">
      <c r="A268" s="22" t="s">
        <v>319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>
        <v>2</v>
      </c>
      <c r="AM268" s="3"/>
      <c r="AN268" s="3">
        <v>2</v>
      </c>
      <c r="AO268" s="3"/>
      <c r="AP268" s="3"/>
      <c r="AQ268" s="3"/>
      <c r="AR268" s="3"/>
      <c r="AS268" s="3">
        <v>2</v>
      </c>
      <c r="AT268" s="3">
        <v>2</v>
      </c>
      <c r="AU268" s="3"/>
      <c r="AV268" s="3"/>
      <c r="AW268" s="3">
        <v>2</v>
      </c>
      <c r="AX268" s="3"/>
      <c r="AY268" s="3"/>
      <c r="AZ268" s="3"/>
    </row>
    <row r="269" spans="1:52" ht="13" x14ac:dyDescent="0.3">
      <c r="A269" s="22" t="s">
        <v>420</v>
      </c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>
        <v>2</v>
      </c>
      <c r="AG269" s="3"/>
      <c r="AH269" s="3"/>
      <c r="AI269" s="3"/>
      <c r="AJ269" s="3">
        <v>2</v>
      </c>
      <c r="AK269" s="3"/>
      <c r="AL269" s="3"/>
      <c r="AM269" s="3"/>
      <c r="AN269" s="3">
        <v>2</v>
      </c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</row>
    <row r="270" spans="1:52" ht="13" x14ac:dyDescent="0.3">
      <c r="A270" s="22" t="s">
        <v>320</v>
      </c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>
        <v>2</v>
      </c>
      <c r="AL270" s="3"/>
      <c r="AM270" s="3"/>
      <c r="AN270" s="3">
        <v>3</v>
      </c>
      <c r="AO270" s="3"/>
      <c r="AP270" s="3"/>
      <c r="AQ270" s="3"/>
      <c r="AR270" s="3"/>
      <c r="AS270" s="3">
        <v>2</v>
      </c>
      <c r="AT270" s="3"/>
      <c r="AU270" s="3"/>
      <c r="AV270" s="3"/>
      <c r="AW270" s="3"/>
      <c r="AX270" s="3"/>
      <c r="AY270" s="3"/>
      <c r="AZ270" s="3"/>
    </row>
    <row r="271" spans="1:52" ht="13" x14ac:dyDescent="0.3">
      <c r="A271" s="22" t="s">
        <v>321</v>
      </c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>
        <v>2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>
        <v>3</v>
      </c>
      <c r="AR271" s="3">
        <v>3</v>
      </c>
      <c r="AS271" s="3">
        <v>3</v>
      </c>
      <c r="AT271" s="3">
        <v>3</v>
      </c>
      <c r="AU271" s="3">
        <v>3</v>
      </c>
      <c r="AV271" s="3">
        <v>3</v>
      </c>
      <c r="AW271" s="3">
        <v>3</v>
      </c>
      <c r="AX271" s="3"/>
      <c r="AY271" s="3"/>
      <c r="AZ271" s="3">
        <v>3</v>
      </c>
    </row>
    <row r="272" spans="1:52" ht="13" x14ac:dyDescent="0.3">
      <c r="A272" s="22" t="s">
        <v>391</v>
      </c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>
        <v>2</v>
      </c>
      <c r="AR272" s="3"/>
      <c r="AS272" s="3"/>
      <c r="AT272" s="3"/>
      <c r="AU272" s="3"/>
      <c r="AV272" s="3"/>
      <c r="AW272" s="3"/>
      <c r="AX272" s="3"/>
      <c r="AY272" s="3"/>
      <c r="AZ272" s="3"/>
    </row>
    <row r="273" spans="1:52" ht="13" x14ac:dyDescent="0.3">
      <c r="A273" s="22" t="s">
        <v>133</v>
      </c>
      <c r="B273" s="3"/>
      <c r="C273" s="3"/>
      <c r="D273" s="3"/>
      <c r="E273" s="3"/>
      <c r="F273" s="3"/>
      <c r="G273" s="3"/>
      <c r="H273" s="3">
        <v>2</v>
      </c>
      <c r="I273" s="3"/>
      <c r="J273" s="3">
        <v>2</v>
      </c>
      <c r="K273" s="3"/>
      <c r="L273" s="3"/>
      <c r="M273" s="3"/>
      <c r="N273" s="3"/>
      <c r="O273" s="3"/>
      <c r="P273" s="3"/>
      <c r="Q273" s="3"/>
      <c r="R273" s="3">
        <v>2</v>
      </c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>
        <v>2</v>
      </c>
      <c r="AI273" s="3"/>
      <c r="AJ273" s="3"/>
      <c r="AK273" s="3"/>
      <c r="AL273" s="3">
        <v>2</v>
      </c>
      <c r="AM273" s="3"/>
      <c r="AN273" s="3">
        <v>3</v>
      </c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</row>
    <row r="274" spans="1:52" ht="13" x14ac:dyDescent="0.3">
      <c r="A274" s="22" t="s">
        <v>134</v>
      </c>
      <c r="B274" s="3">
        <v>2</v>
      </c>
      <c r="C274" s="3"/>
      <c r="D274" s="3"/>
      <c r="E274" s="3"/>
      <c r="F274" s="3">
        <v>3</v>
      </c>
      <c r="G274" s="3"/>
      <c r="H274" s="3">
        <v>3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>
        <v>2</v>
      </c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>
        <v>2</v>
      </c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</row>
    <row r="275" spans="1:52" ht="13" x14ac:dyDescent="0.3">
      <c r="A275" s="22" t="s">
        <v>405</v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>
        <v>2</v>
      </c>
      <c r="AT275" s="3"/>
      <c r="AU275" s="3"/>
      <c r="AV275" s="3"/>
      <c r="AW275" s="3"/>
      <c r="AX275" s="3"/>
      <c r="AY275" s="3"/>
      <c r="AZ275" s="3"/>
    </row>
    <row r="276" spans="1:52" ht="13" x14ac:dyDescent="0.3">
      <c r="A276" s="22" t="s">
        <v>460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1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</row>
    <row r="277" spans="1:52" ht="13" x14ac:dyDescent="0.3">
      <c r="A277" s="22" t="s">
        <v>406</v>
      </c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>
        <v>1</v>
      </c>
      <c r="AU277" s="3"/>
      <c r="AV277" s="3"/>
      <c r="AW277" s="3"/>
      <c r="AX277" s="3"/>
      <c r="AY277" s="3"/>
      <c r="AZ277" s="3"/>
    </row>
    <row r="278" spans="1:52" ht="13" x14ac:dyDescent="0.3">
      <c r="A278" s="22" t="s">
        <v>135</v>
      </c>
      <c r="B278" s="3">
        <v>2</v>
      </c>
      <c r="C278" s="3"/>
      <c r="D278" s="3"/>
      <c r="E278" s="3"/>
      <c r="F278" s="3">
        <v>2</v>
      </c>
      <c r="G278" s="3"/>
      <c r="H278" s="3"/>
      <c r="I278" s="3"/>
      <c r="J278" s="3">
        <v>2</v>
      </c>
      <c r="K278" s="3"/>
      <c r="L278" s="3"/>
      <c r="M278" s="3"/>
      <c r="N278" s="3"/>
      <c r="O278" s="3"/>
      <c r="P278" s="3"/>
      <c r="Q278" s="3"/>
      <c r="R278" s="3">
        <v>2</v>
      </c>
      <c r="S278" s="3"/>
      <c r="T278" s="3">
        <v>2</v>
      </c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>
        <v>2</v>
      </c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</row>
    <row r="279" spans="1:52" ht="13" x14ac:dyDescent="0.3">
      <c r="A279" s="22" t="s">
        <v>459</v>
      </c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>
        <v>1</v>
      </c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</row>
    <row r="280" spans="1:52" ht="13" x14ac:dyDescent="0.3">
      <c r="A280" s="22" t="s">
        <v>322</v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>
        <v>2</v>
      </c>
      <c r="AX280" s="3"/>
      <c r="AY280" s="3"/>
      <c r="AZ280" s="3"/>
    </row>
    <row r="281" spans="1:52" ht="13" x14ac:dyDescent="0.3">
      <c r="A281" s="22" t="s">
        <v>323</v>
      </c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2</v>
      </c>
      <c r="AY281" s="3"/>
      <c r="AZ281" s="3"/>
    </row>
    <row r="282" spans="1:52" ht="13" x14ac:dyDescent="0.3">
      <c r="A282" s="22" t="s">
        <v>419</v>
      </c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1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</row>
    <row r="283" spans="1:52" ht="13" x14ac:dyDescent="0.3">
      <c r="A283" s="22" t="s">
        <v>324</v>
      </c>
      <c r="B283" s="3"/>
      <c r="C283" s="3"/>
      <c r="D283" s="3"/>
      <c r="E283" s="3"/>
      <c r="F283" s="3"/>
      <c r="G283" s="3"/>
      <c r="H283" s="3"/>
      <c r="I283" s="3"/>
      <c r="J283" s="3">
        <v>2</v>
      </c>
      <c r="K283" s="3"/>
      <c r="L283" s="3"/>
      <c r="M283" s="3"/>
      <c r="N283" s="3"/>
      <c r="O283" s="3"/>
      <c r="P283" s="3"/>
      <c r="Q283" s="3">
        <v>2</v>
      </c>
      <c r="R283" s="3">
        <v>2</v>
      </c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</row>
    <row r="284" spans="1:52" ht="13" x14ac:dyDescent="0.3">
      <c r="A284" s="22" t="s">
        <v>325</v>
      </c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>
        <v>2</v>
      </c>
      <c r="AT284" s="3">
        <v>2</v>
      </c>
      <c r="AU284" s="3"/>
      <c r="AV284" s="3"/>
      <c r="AW284" s="3"/>
      <c r="AX284" s="3">
        <v>2</v>
      </c>
      <c r="AY284" s="3"/>
      <c r="AZ284" s="3"/>
    </row>
    <row r="285" spans="1:52" ht="13" x14ac:dyDescent="0.3">
      <c r="A285" s="22" t="s">
        <v>136</v>
      </c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>
        <v>2</v>
      </c>
      <c r="AH285" s="3">
        <v>2</v>
      </c>
      <c r="AI285" s="3"/>
      <c r="AJ285" s="3"/>
      <c r="AK285" s="3">
        <v>3</v>
      </c>
      <c r="AL285" s="3">
        <v>2</v>
      </c>
      <c r="AM285" s="3"/>
      <c r="AN285" s="3">
        <v>3</v>
      </c>
      <c r="AO285" s="3">
        <v>1</v>
      </c>
      <c r="AP285" s="3"/>
      <c r="AQ285" s="3"/>
      <c r="AR285" s="3"/>
      <c r="AS285" s="3">
        <v>1</v>
      </c>
      <c r="AT285" s="3"/>
      <c r="AU285" s="3"/>
      <c r="AV285" s="3"/>
      <c r="AW285" s="3"/>
      <c r="AX285" s="3"/>
      <c r="AY285" s="3"/>
      <c r="AZ285" s="3"/>
    </row>
    <row r="286" spans="1:52" ht="13" x14ac:dyDescent="0.3">
      <c r="A286" s="22" t="s">
        <v>137</v>
      </c>
      <c r="B286" s="3"/>
      <c r="C286" s="3"/>
      <c r="D286" s="3"/>
      <c r="E286" s="3"/>
      <c r="F286" s="3"/>
      <c r="G286" s="3"/>
      <c r="H286" s="3"/>
      <c r="I286" s="3"/>
      <c r="J286" s="3">
        <v>2</v>
      </c>
      <c r="K286" s="3"/>
      <c r="L286" s="3"/>
      <c r="M286" s="3"/>
      <c r="N286" s="3"/>
      <c r="O286" s="3"/>
      <c r="P286" s="3"/>
      <c r="Q286" s="3">
        <v>2</v>
      </c>
      <c r="R286" s="3">
        <v>2</v>
      </c>
      <c r="S286" s="3"/>
      <c r="T286" s="3"/>
      <c r="U286" s="3">
        <v>2</v>
      </c>
      <c r="V286" s="3">
        <v>3</v>
      </c>
      <c r="W286" s="3"/>
      <c r="X286" s="3"/>
      <c r="Y286" s="3">
        <v>2</v>
      </c>
      <c r="Z286" s="3">
        <v>2</v>
      </c>
      <c r="AA286" s="3"/>
      <c r="AB286" s="3"/>
      <c r="AC286" s="3">
        <v>2</v>
      </c>
      <c r="AD286" s="3">
        <v>2</v>
      </c>
      <c r="AE286" s="3"/>
      <c r="AF286" s="3"/>
      <c r="AG286" s="3">
        <v>2</v>
      </c>
      <c r="AH286" s="3">
        <v>2</v>
      </c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</row>
    <row r="287" spans="1:52" ht="13" x14ac:dyDescent="0.3">
      <c r="A287" s="22" t="s">
        <v>138</v>
      </c>
      <c r="B287" s="3"/>
      <c r="C287" s="3"/>
      <c r="D287" s="3"/>
      <c r="E287" s="3"/>
      <c r="F287" s="3"/>
      <c r="G287" s="3"/>
      <c r="H287" s="3"/>
      <c r="I287" s="3"/>
      <c r="J287" s="3">
        <v>2</v>
      </c>
      <c r="K287" s="3"/>
      <c r="L287" s="3"/>
      <c r="M287" s="3"/>
      <c r="N287" s="3"/>
      <c r="O287" s="3"/>
      <c r="P287" s="3"/>
      <c r="Q287" s="3">
        <v>2</v>
      </c>
      <c r="R287" s="3">
        <v>2</v>
      </c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>
        <v>2</v>
      </c>
      <c r="AG287" s="3">
        <v>2</v>
      </c>
      <c r="AH287" s="3">
        <v>2</v>
      </c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</row>
    <row r="288" spans="1:52" ht="13" x14ac:dyDescent="0.3">
      <c r="A288" s="22" t="s">
        <v>139</v>
      </c>
      <c r="B288" s="3">
        <v>2</v>
      </c>
      <c r="C288" s="3"/>
      <c r="D288" s="3"/>
      <c r="E288" s="3"/>
      <c r="F288" s="3">
        <v>3</v>
      </c>
      <c r="G288" s="3"/>
      <c r="H288" s="3">
        <v>2</v>
      </c>
      <c r="I288" s="3"/>
      <c r="J288" s="3">
        <v>2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>
        <v>3</v>
      </c>
      <c r="V288" s="3">
        <v>3</v>
      </c>
      <c r="W288" s="3">
        <v>3</v>
      </c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</row>
    <row r="289" spans="1:52" ht="13" x14ac:dyDescent="0.3">
      <c r="A289" s="22" t="s">
        <v>140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>
        <v>2</v>
      </c>
      <c r="Z289" s="3">
        <v>2</v>
      </c>
      <c r="AA289" s="3"/>
      <c r="AB289" s="3">
        <v>2</v>
      </c>
      <c r="AC289" s="3">
        <v>2</v>
      </c>
      <c r="AD289" s="3">
        <v>2</v>
      </c>
      <c r="AE289" s="3"/>
      <c r="AF289" s="3"/>
      <c r="AG289" s="3">
        <v>2</v>
      </c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</row>
    <row r="290" spans="1:52" ht="13" x14ac:dyDescent="0.3">
      <c r="A290" s="22" t="s">
        <v>141</v>
      </c>
      <c r="B290" s="3"/>
      <c r="C290" s="3"/>
      <c r="D290" s="3"/>
      <c r="E290" s="3"/>
      <c r="F290" s="3"/>
      <c r="G290" s="3"/>
      <c r="H290" s="3">
        <v>2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>
        <v>3</v>
      </c>
      <c r="AG290" s="3">
        <v>3</v>
      </c>
      <c r="AH290" s="3">
        <v>3</v>
      </c>
      <c r="AI290" s="3"/>
      <c r="AJ290" s="3">
        <v>3</v>
      </c>
      <c r="AK290" s="3">
        <v>3</v>
      </c>
      <c r="AL290" s="3">
        <v>3</v>
      </c>
      <c r="AM290" s="3"/>
      <c r="AN290" s="3">
        <v>2</v>
      </c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</row>
    <row r="291" spans="1:52" ht="13" x14ac:dyDescent="0.3">
      <c r="A291" s="22" t="s">
        <v>326</v>
      </c>
      <c r="B291" s="3">
        <v>2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>
        <v>2</v>
      </c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</row>
    <row r="292" spans="1:52" ht="13" x14ac:dyDescent="0.3">
      <c r="A292" s="23" t="s">
        <v>327</v>
      </c>
      <c r="B292" s="20"/>
      <c r="C292" s="20"/>
      <c r="D292" s="20"/>
      <c r="E292" s="20"/>
      <c r="F292" s="20"/>
      <c r="G292" s="20"/>
      <c r="H292" s="20"/>
      <c r="I292" s="20"/>
      <c r="J292" s="20">
        <v>2</v>
      </c>
      <c r="K292" s="20"/>
      <c r="L292" s="20"/>
      <c r="M292" s="20"/>
      <c r="N292" s="20"/>
      <c r="O292" s="20"/>
      <c r="P292" s="20"/>
      <c r="Q292" s="20"/>
      <c r="R292" s="20">
        <v>2</v>
      </c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>
        <v>2</v>
      </c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>
        <v>2</v>
      </c>
      <c r="AU292" s="20">
        <v>2</v>
      </c>
      <c r="AV292" s="20"/>
      <c r="AW292" s="20">
        <v>2</v>
      </c>
      <c r="AX292" s="20"/>
      <c r="AY292" s="20"/>
      <c r="AZ292" s="20"/>
    </row>
    <row r="293" spans="1:52" ht="13" x14ac:dyDescent="0.3">
      <c r="A293" s="22" t="s">
        <v>142</v>
      </c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>
        <v>2</v>
      </c>
      <c r="Z293" s="3">
        <v>2</v>
      </c>
      <c r="AA293" s="3"/>
      <c r="AB293" s="3"/>
      <c r="AC293" s="3">
        <v>3</v>
      </c>
      <c r="AD293" s="3">
        <v>3</v>
      </c>
      <c r="AE293" s="3"/>
      <c r="AF293" s="3"/>
      <c r="AG293" s="3">
        <v>2</v>
      </c>
      <c r="AH293" s="3"/>
      <c r="AI293" s="3"/>
      <c r="AJ293" s="3"/>
      <c r="AK293" s="3"/>
      <c r="AL293" s="3"/>
      <c r="AM293" s="3"/>
      <c r="AN293" s="3">
        <v>2</v>
      </c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</row>
    <row r="294" spans="1:52" ht="13" x14ac:dyDescent="0.3">
      <c r="A294" s="22" t="s">
        <v>143</v>
      </c>
      <c r="B294" s="3">
        <v>3</v>
      </c>
      <c r="C294" s="3">
        <v>3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>
        <v>2</v>
      </c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</row>
    <row r="295" spans="1:52" ht="13" x14ac:dyDescent="0.3">
      <c r="A295" s="22" t="s">
        <v>389</v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1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>
        <v>2</v>
      </c>
      <c r="AV295" s="3"/>
      <c r="AW295" s="3"/>
      <c r="AX295" s="3"/>
      <c r="AY295" s="3"/>
      <c r="AZ295" s="3"/>
    </row>
    <row r="296" spans="1:52" ht="13" x14ac:dyDescent="0.3">
      <c r="A296" s="22" t="s">
        <v>328</v>
      </c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>
        <v>3</v>
      </c>
      <c r="AG296" s="3">
        <v>3</v>
      </c>
      <c r="AH296" s="3">
        <v>3</v>
      </c>
      <c r="AI296" s="3">
        <v>3</v>
      </c>
      <c r="AJ296" s="3">
        <v>3</v>
      </c>
      <c r="AK296" s="3">
        <v>3</v>
      </c>
      <c r="AL296" s="3">
        <v>3</v>
      </c>
      <c r="AM296" s="3">
        <v>3</v>
      </c>
      <c r="AN296" s="3">
        <v>2</v>
      </c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</row>
    <row r="297" spans="1:52" ht="13" x14ac:dyDescent="0.3">
      <c r="A297" s="22" t="s">
        <v>329</v>
      </c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2</v>
      </c>
      <c r="AY297" s="3"/>
      <c r="AZ297" s="3"/>
    </row>
    <row r="298" spans="1:52" ht="13" x14ac:dyDescent="0.3">
      <c r="A298" s="22" t="s">
        <v>330</v>
      </c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>
        <v>2</v>
      </c>
      <c r="AT298" s="3"/>
      <c r="AU298" s="3"/>
      <c r="AV298" s="3"/>
      <c r="AW298" s="3"/>
      <c r="AX298" s="3">
        <v>2</v>
      </c>
      <c r="AY298" s="3"/>
      <c r="AZ298" s="3"/>
    </row>
    <row r="299" spans="1:52" ht="13" x14ac:dyDescent="0.3">
      <c r="A299" s="22" t="s">
        <v>144</v>
      </c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>
        <v>2</v>
      </c>
      <c r="AG299" s="3">
        <v>3</v>
      </c>
      <c r="AH299" s="3"/>
      <c r="AI299" s="3"/>
      <c r="AJ299" s="3">
        <v>2</v>
      </c>
      <c r="AK299" s="3"/>
      <c r="AL299" s="3">
        <v>2</v>
      </c>
      <c r="AM299" s="3"/>
      <c r="AN299" s="3">
        <v>2</v>
      </c>
      <c r="AO299" s="3"/>
      <c r="AP299" s="3"/>
      <c r="AQ299" s="3">
        <v>3</v>
      </c>
      <c r="AR299" s="3">
        <v>3</v>
      </c>
      <c r="AS299" s="3">
        <v>3</v>
      </c>
      <c r="AT299" s="3">
        <v>3</v>
      </c>
      <c r="AU299" s="3">
        <v>3</v>
      </c>
      <c r="AV299" s="3">
        <v>3</v>
      </c>
      <c r="AW299" s="3">
        <v>3</v>
      </c>
      <c r="AX299" s="3"/>
      <c r="AY299" s="3"/>
      <c r="AZ299" s="3">
        <v>3</v>
      </c>
    </row>
    <row r="300" spans="1:52" ht="13" x14ac:dyDescent="0.3">
      <c r="A300" s="22" t="s">
        <v>408</v>
      </c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>
        <v>2</v>
      </c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</row>
    <row r="301" spans="1:52" ht="13" x14ac:dyDescent="0.3">
      <c r="A301" s="22" t="s">
        <v>393</v>
      </c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>
        <v>2</v>
      </c>
      <c r="AV301" s="3"/>
      <c r="AW301" s="3">
        <v>2</v>
      </c>
      <c r="AX301" s="3"/>
      <c r="AY301" s="3"/>
      <c r="AZ301" s="3"/>
    </row>
    <row r="302" spans="1:52" ht="13" x14ac:dyDescent="0.3">
      <c r="A302" s="22" t="s">
        <v>145</v>
      </c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>
        <v>2</v>
      </c>
      <c r="Z302" s="3">
        <v>2</v>
      </c>
      <c r="AA302" s="3">
        <v>2</v>
      </c>
      <c r="AB302" s="3">
        <v>2</v>
      </c>
      <c r="AC302" s="3">
        <v>2</v>
      </c>
      <c r="AD302" s="3">
        <v>2</v>
      </c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>
        <v>2</v>
      </c>
      <c r="AR302" s="3"/>
      <c r="AS302" s="3"/>
      <c r="AT302" s="3"/>
      <c r="AU302" s="3"/>
      <c r="AV302" s="3"/>
      <c r="AW302" s="3"/>
      <c r="AX302" s="3"/>
      <c r="AY302" s="3"/>
      <c r="AZ302" s="3"/>
    </row>
    <row r="303" spans="1:52" ht="13" x14ac:dyDescent="0.3">
      <c r="A303" s="22" t="s">
        <v>462</v>
      </c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>
        <v>1</v>
      </c>
      <c r="AQ303" s="3"/>
      <c r="AR303" s="3"/>
      <c r="AS303" s="3"/>
      <c r="AT303" s="3"/>
      <c r="AU303" s="3"/>
      <c r="AV303" s="3"/>
      <c r="AW303" s="3"/>
      <c r="AX303" s="3"/>
      <c r="AY303" s="3"/>
      <c r="AZ303" s="3"/>
    </row>
    <row r="304" spans="1:52" ht="13" x14ac:dyDescent="0.3">
      <c r="A304" s="22" t="s">
        <v>146</v>
      </c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>
        <v>2</v>
      </c>
      <c r="Z304" s="3">
        <v>2</v>
      </c>
      <c r="AA304" s="3">
        <v>2</v>
      </c>
      <c r="AB304" s="3"/>
      <c r="AC304" s="3">
        <v>2</v>
      </c>
      <c r="AD304" s="3">
        <v>2</v>
      </c>
      <c r="AE304" s="3"/>
      <c r="AF304" s="3"/>
      <c r="AG304" s="3"/>
      <c r="AH304" s="3"/>
      <c r="AI304" s="3"/>
      <c r="AJ304" s="3"/>
      <c r="AK304" s="3"/>
      <c r="AL304" s="3"/>
      <c r="AM304" s="3"/>
      <c r="AN304" s="3">
        <v>1</v>
      </c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</row>
    <row r="305" spans="1:52" ht="13" x14ac:dyDescent="0.3">
      <c r="A305" s="22" t="s">
        <v>331</v>
      </c>
      <c r="B305" s="3"/>
      <c r="C305" s="3"/>
      <c r="D305" s="3"/>
      <c r="E305" s="3"/>
      <c r="F305" s="3"/>
      <c r="G305" s="3"/>
      <c r="H305" s="3">
        <v>2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2</v>
      </c>
      <c r="AD305" s="3">
        <v>2</v>
      </c>
      <c r="AE305" s="3"/>
      <c r="AF305" s="3"/>
      <c r="AG305" s="3">
        <v>2</v>
      </c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>
        <v>2</v>
      </c>
      <c r="AT305" s="3"/>
      <c r="AU305" s="3"/>
      <c r="AV305" s="3"/>
      <c r="AW305" s="3"/>
      <c r="AX305" s="3"/>
      <c r="AY305" s="3"/>
      <c r="AZ305" s="3"/>
    </row>
    <row r="306" spans="1:52" ht="12" customHeight="1" x14ac:dyDescent="0.3">
      <c r="A306" s="22" t="s">
        <v>332</v>
      </c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>
        <v>1</v>
      </c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</row>
    <row r="307" spans="1:52" ht="13" x14ac:dyDescent="0.3">
      <c r="A307" s="22" t="s">
        <v>333</v>
      </c>
      <c r="B307" s="3"/>
      <c r="C307" s="3"/>
      <c r="D307" s="3"/>
      <c r="E307" s="3"/>
      <c r="F307" s="3"/>
      <c r="G307" s="3"/>
      <c r="H307" s="3"/>
      <c r="I307" s="3"/>
      <c r="J307" s="3">
        <v>2</v>
      </c>
      <c r="K307" s="3"/>
      <c r="L307" s="3"/>
      <c r="M307" s="3"/>
      <c r="N307" s="3"/>
      <c r="O307" s="3"/>
      <c r="P307" s="3"/>
      <c r="Q307" s="3">
        <v>2</v>
      </c>
      <c r="R307" s="3">
        <v>2</v>
      </c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>
        <v>2</v>
      </c>
      <c r="AI307" s="3"/>
      <c r="AJ307" s="3"/>
      <c r="AK307" s="3"/>
      <c r="AL307" s="3"/>
      <c r="AM307" s="3"/>
      <c r="AN307" s="3"/>
      <c r="AO307" s="3"/>
      <c r="AP307" s="3"/>
      <c r="AQ307" s="3">
        <v>2</v>
      </c>
      <c r="AR307" s="3">
        <v>2</v>
      </c>
      <c r="AS307" s="3">
        <v>2</v>
      </c>
      <c r="AT307" s="3">
        <v>2</v>
      </c>
      <c r="AU307" s="3">
        <v>2</v>
      </c>
      <c r="AV307" s="3"/>
      <c r="AW307" s="3"/>
      <c r="AX307" s="3"/>
      <c r="AY307" s="3"/>
      <c r="AZ307" s="3"/>
    </row>
    <row r="308" spans="1:52" ht="13" x14ac:dyDescent="0.3">
      <c r="A308" s="22" t="s">
        <v>147</v>
      </c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>
        <v>2</v>
      </c>
      <c r="X308" s="3"/>
      <c r="Y308" s="3">
        <v>3</v>
      </c>
      <c r="Z308" s="3">
        <v>3</v>
      </c>
      <c r="AA308" s="3">
        <v>3</v>
      </c>
      <c r="AB308" s="3">
        <v>3</v>
      </c>
      <c r="AC308" s="3">
        <v>2</v>
      </c>
      <c r="AD308" s="3">
        <v>2</v>
      </c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</row>
    <row r="309" spans="1:52" ht="13" x14ac:dyDescent="0.3">
      <c r="A309" s="22" t="s">
        <v>148</v>
      </c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>
        <v>2</v>
      </c>
      <c r="X309" s="3"/>
      <c r="Y309" s="3">
        <v>2</v>
      </c>
      <c r="Z309" s="3">
        <v>2</v>
      </c>
      <c r="AA309" s="3">
        <v>1</v>
      </c>
      <c r="AB309" s="3">
        <v>2</v>
      </c>
      <c r="AC309" s="3">
        <v>2</v>
      </c>
      <c r="AD309" s="3">
        <v>2</v>
      </c>
      <c r="AE309" s="3"/>
      <c r="AF309" s="3"/>
      <c r="AG309" s="3"/>
      <c r="AH309" s="3"/>
      <c r="AI309" s="3"/>
      <c r="AJ309" s="3"/>
      <c r="AK309" s="3"/>
      <c r="AL309" s="3"/>
      <c r="AM309" s="3"/>
      <c r="AN309" s="3">
        <v>2</v>
      </c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</row>
    <row r="310" spans="1:52" ht="13" x14ac:dyDescent="0.3">
      <c r="A310" s="22" t="s">
        <v>334</v>
      </c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>
        <v>2</v>
      </c>
      <c r="AX310" s="3"/>
      <c r="AY310" s="3"/>
      <c r="AZ310" s="3"/>
    </row>
    <row r="311" spans="1:52" ht="13" x14ac:dyDescent="0.3">
      <c r="A311" s="22" t="s">
        <v>149</v>
      </c>
      <c r="B311" s="3">
        <v>2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>
        <v>2</v>
      </c>
      <c r="P311" s="3"/>
      <c r="Q311" s="3"/>
      <c r="R311" s="3"/>
      <c r="S311" s="3"/>
      <c r="T311" s="3"/>
      <c r="U311" s="3"/>
      <c r="V311" s="3"/>
      <c r="W311" s="3">
        <v>2</v>
      </c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>
        <v>2</v>
      </c>
      <c r="AI311" s="3"/>
      <c r="AJ311" s="3"/>
      <c r="AK311" s="3"/>
      <c r="AL311" s="3">
        <v>2</v>
      </c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</row>
    <row r="312" spans="1:52" ht="13" x14ac:dyDescent="0.3">
      <c r="A312" s="22" t="s">
        <v>335</v>
      </c>
      <c r="B312" s="3">
        <v>2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</row>
    <row r="313" spans="1:52" ht="13" x14ac:dyDescent="0.3">
      <c r="A313" s="22" t="s">
        <v>150</v>
      </c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>
        <v>3</v>
      </c>
      <c r="AG313" s="3">
        <v>2</v>
      </c>
      <c r="AH313" s="3">
        <v>2</v>
      </c>
      <c r="AI313" s="3"/>
      <c r="AJ313" s="3">
        <v>2</v>
      </c>
      <c r="AK313" s="3"/>
      <c r="AL313" s="3"/>
      <c r="AM313" s="3"/>
      <c r="AN313" s="3">
        <v>2</v>
      </c>
      <c r="AO313" s="3">
        <v>2</v>
      </c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</row>
    <row r="314" spans="1:52" ht="13" x14ac:dyDescent="0.3">
      <c r="A314" s="22" t="s">
        <v>151</v>
      </c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>
        <v>2</v>
      </c>
      <c r="AG314" s="3"/>
      <c r="AH314" s="3"/>
      <c r="AI314" s="3"/>
      <c r="AJ314" s="3">
        <v>3</v>
      </c>
      <c r="AK314" s="3"/>
      <c r="AL314" s="3"/>
      <c r="AM314" s="3"/>
      <c r="AN314" s="3">
        <v>2</v>
      </c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</row>
    <row r="315" spans="1:52" ht="13" x14ac:dyDescent="0.3">
      <c r="A315" s="22" t="s">
        <v>417</v>
      </c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2</v>
      </c>
      <c r="AD315" s="3">
        <v>2</v>
      </c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</row>
    <row r="316" spans="1:52" ht="13" x14ac:dyDescent="0.3">
      <c r="A316" s="22" t="s">
        <v>447</v>
      </c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>
        <v>1</v>
      </c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</row>
    <row r="317" spans="1:52" ht="13" x14ac:dyDescent="0.3">
      <c r="A317" s="22" t="s">
        <v>336</v>
      </c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2</v>
      </c>
      <c r="AY317" s="3"/>
      <c r="AZ317" s="3"/>
    </row>
    <row r="318" spans="1:52" ht="13" x14ac:dyDescent="0.3">
      <c r="A318" s="22" t="s">
        <v>337</v>
      </c>
      <c r="B318" s="3"/>
      <c r="C318" s="3"/>
      <c r="D318" s="3">
        <v>2</v>
      </c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1</v>
      </c>
      <c r="AY318" s="3"/>
      <c r="AZ318" s="3"/>
    </row>
    <row r="319" spans="1:52" ht="13" x14ac:dyDescent="0.3">
      <c r="A319" s="22" t="s">
        <v>338</v>
      </c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>
        <v>2</v>
      </c>
      <c r="AM319" s="3"/>
      <c r="AN319" s="3">
        <v>2</v>
      </c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</row>
    <row r="320" spans="1:52" ht="13" x14ac:dyDescent="0.3">
      <c r="A320" s="22" t="s">
        <v>153</v>
      </c>
      <c r="B320" s="3">
        <v>2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>
        <v>2</v>
      </c>
      <c r="V320" s="3">
        <v>2</v>
      </c>
      <c r="W320" s="3"/>
      <c r="X320" s="3"/>
      <c r="Y320" s="3"/>
      <c r="Z320" s="3">
        <v>2</v>
      </c>
      <c r="AA320" s="3">
        <v>2</v>
      </c>
      <c r="AB320" s="3">
        <v>2</v>
      </c>
      <c r="AC320" s="3">
        <v>2</v>
      </c>
      <c r="AD320" s="3">
        <v>2</v>
      </c>
      <c r="AE320" s="3"/>
      <c r="AF320" s="3"/>
      <c r="AG320" s="3"/>
      <c r="AH320" s="3"/>
      <c r="AI320" s="3"/>
      <c r="AJ320" s="3"/>
      <c r="AK320" s="3"/>
      <c r="AL320" s="3"/>
      <c r="AM320" s="3"/>
      <c r="AN320" s="3">
        <v>2</v>
      </c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</row>
    <row r="321" spans="1:52" ht="13" x14ac:dyDescent="0.3">
      <c r="A321" s="22" t="s">
        <v>339</v>
      </c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>
        <v>2</v>
      </c>
      <c r="AM321" s="3"/>
      <c r="AN321" s="3">
        <v>2</v>
      </c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</row>
    <row r="322" spans="1:52" ht="13" x14ac:dyDescent="0.3">
      <c r="A322" s="22" t="s">
        <v>154</v>
      </c>
      <c r="B322" s="3">
        <v>2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>
        <v>2</v>
      </c>
      <c r="S322" s="3"/>
      <c r="T322" s="3"/>
      <c r="U322" s="3">
        <v>3</v>
      </c>
      <c r="V322" s="3">
        <v>3</v>
      </c>
      <c r="W322" s="3"/>
      <c r="X322" s="3"/>
      <c r="Y322" s="3">
        <v>2</v>
      </c>
      <c r="Z322" s="3">
        <v>3</v>
      </c>
      <c r="AA322" s="3">
        <v>2</v>
      </c>
      <c r="AB322" s="3">
        <v>3</v>
      </c>
      <c r="AC322" s="3">
        <v>2</v>
      </c>
      <c r="AD322" s="3">
        <v>2</v>
      </c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</row>
    <row r="323" spans="1:52" ht="13" x14ac:dyDescent="0.3">
      <c r="A323" s="23" t="s">
        <v>340</v>
      </c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>
        <v>2</v>
      </c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3"/>
      <c r="AT323" s="3"/>
      <c r="AU323" s="3"/>
      <c r="AV323" s="3"/>
      <c r="AW323" s="20">
        <v>2</v>
      </c>
      <c r="AX323" s="20"/>
      <c r="AY323" s="20"/>
      <c r="AZ323" s="20"/>
    </row>
    <row r="324" spans="1:52" ht="13" x14ac:dyDescent="0.3">
      <c r="A324" s="22" t="s">
        <v>341</v>
      </c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>
        <v>2</v>
      </c>
      <c r="AR324" s="3"/>
      <c r="AS324" s="3"/>
      <c r="AT324" s="3"/>
      <c r="AU324" s="3">
        <v>2</v>
      </c>
      <c r="AV324" s="3"/>
      <c r="AW324" s="3">
        <v>2</v>
      </c>
      <c r="AX324" s="3"/>
      <c r="AY324" s="3"/>
      <c r="AZ324" s="3"/>
    </row>
    <row r="325" spans="1:52" ht="13" x14ac:dyDescent="0.3">
      <c r="A325" s="22" t="s">
        <v>450</v>
      </c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1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</row>
    <row r="326" spans="1:52" ht="13" x14ac:dyDescent="0.3">
      <c r="A326" s="22" t="s">
        <v>390</v>
      </c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>
        <v>2</v>
      </c>
      <c r="AT326" s="3">
        <v>2</v>
      </c>
      <c r="AU326" s="3"/>
      <c r="AV326" s="3">
        <v>2</v>
      </c>
      <c r="AW326" s="3"/>
      <c r="AX326" s="3"/>
      <c r="AY326" s="3"/>
      <c r="AZ326" s="3"/>
    </row>
    <row r="327" spans="1:52" ht="13" x14ac:dyDescent="0.3">
      <c r="A327" s="22" t="s">
        <v>342</v>
      </c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>
        <v>2</v>
      </c>
      <c r="AX327" s="3"/>
      <c r="AY327" s="3"/>
      <c r="AZ327" s="3"/>
    </row>
    <row r="328" spans="1:52" ht="13" x14ac:dyDescent="0.3">
      <c r="A328" s="22" t="s">
        <v>343</v>
      </c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>
        <v>2</v>
      </c>
      <c r="Z328" s="3">
        <v>2</v>
      </c>
      <c r="AA328" s="3">
        <v>1</v>
      </c>
      <c r="AB328" s="3">
        <v>1</v>
      </c>
      <c r="AC328" s="3">
        <v>2</v>
      </c>
      <c r="AD328" s="3">
        <v>2</v>
      </c>
      <c r="AE328" s="3"/>
      <c r="AF328" s="3"/>
      <c r="AG328" s="3">
        <v>2</v>
      </c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</row>
    <row r="329" spans="1:52" ht="13" x14ac:dyDescent="0.3">
      <c r="A329" s="22" t="s">
        <v>396</v>
      </c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>
        <v>2</v>
      </c>
      <c r="AT329" s="3">
        <v>2</v>
      </c>
      <c r="AU329" s="3"/>
      <c r="AV329" s="3"/>
      <c r="AW329" s="3"/>
      <c r="AX329" s="3"/>
      <c r="AY329" s="3"/>
      <c r="AZ329" s="3"/>
    </row>
    <row r="330" spans="1:52" ht="13" x14ac:dyDescent="0.3">
      <c r="A330" s="22" t="s">
        <v>344</v>
      </c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>
        <v>2</v>
      </c>
      <c r="AT330" s="3">
        <v>2</v>
      </c>
      <c r="AU330" s="3"/>
      <c r="AV330" s="3">
        <v>2</v>
      </c>
      <c r="AW330" s="3">
        <v>2</v>
      </c>
      <c r="AX330" s="3">
        <v>2</v>
      </c>
      <c r="AY330" s="3"/>
      <c r="AZ330" s="3"/>
    </row>
    <row r="331" spans="1:52" ht="13" x14ac:dyDescent="0.3">
      <c r="A331" s="22" t="s">
        <v>156</v>
      </c>
      <c r="B331" s="3">
        <v>2</v>
      </c>
      <c r="C331" s="3"/>
      <c r="D331" s="3"/>
      <c r="E331" s="3"/>
      <c r="F331" s="3"/>
      <c r="G331" s="3"/>
      <c r="H331" s="3">
        <v>2</v>
      </c>
      <c r="I331" s="3"/>
      <c r="J331" s="3">
        <v>2</v>
      </c>
      <c r="K331" s="3"/>
      <c r="L331" s="3"/>
      <c r="M331" s="3"/>
      <c r="N331" s="3"/>
      <c r="O331" s="3"/>
      <c r="P331" s="3"/>
      <c r="Q331" s="3"/>
      <c r="R331" s="3">
        <v>2</v>
      </c>
      <c r="S331" s="3"/>
      <c r="T331" s="3">
        <v>2</v>
      </c>
      <c r="U331" s="3"/>
      <c r="V331" s="3"/>
      <c r="W331" s="3"/>
      <c r="X331" s="3"/>
      <c r="Y331" s="3">
        <v>2</v>
      </c>
      <c r="Z331" s="3">
        <v>2</v>
      </c>
      <c r="AA331" s="3"/>
      <c r="AB331" s="3"/>
      <c r="AC331" s="3">
        <v>2</v>
      </c>
      <c r="AD331" s="3">
        <v>2</v>
      </c>
      <c r="AE331" s="3"/>
      <c r="AF331" s="3"/>
      <c r="AG331" s="3">
        <v>1</v>
      </c>
      <c r="AH331" s="3">
        <v>2</v>
      </c>
      <c r="AI331" s="3"/>
      <c r="AJ331" s="3"/>
      <c r="AK331" s="3"/>
      <c r="AL331" s="3"/>
      <c r="AM331" s="3"/>
      <c r="AN331" s="3">
        <v>2</v>
      </c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</row>
    <row r="332" spans="1:52" ht="13" x14ac:dyDescent="0.3">
      <c r="A332" s="22" t="s">
        <v>157</v>
      </c>
      <c r="B332" s="3"/>
      <c r="C332" s="3"/>
      <c r="D332" s="3"/>
      <c r="E332" s="3"/>
      <c r="F332" s="3"/>
      <c r="G332" s="3"/>
      <c r="H332" s="3">
        <v>2</v>
      </c>
      <c r="I332" s="3"/>
      <c r="J332" s="3">
        <v>3</v>
      </c>
      <c r="K332" s="3">
        <v>3</v>
      </c>
      <c r="L332" s="3"/>
      <c r="M332" s="3">
        <v>3</v>
      </c>
      <c r="N332" s="3">
        <v>3</v>
      </c>
      <c r="O332" s="3"/>
      <c r="P332" s="3"/>
      <c r="Q332" s="3"/>
      <c r="R332" s="3">
        <v>3</v>
      </c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>
        <v>3</v>
      </c>
      <c r="AJ332" s="3"/>
      <c r="AK332" s="3"/>
      <c r="AL332" s="3"/>
      <c r="AM332" s="3">
        <v>3</v>
      </c>
      <c r="AN332" s="3"/>
      <c r="AO332" s="3"/>
      <c r="AP332" s="3"/>
      <c r="AQ332" s="3">
        <v>2</v>
      </c>
      <c r="AR332" s="3"/>
      <c r="AS332" s="3">
        <v>2</v>
      </c>
      <c r="AT332" s="3">
        <v>2</v>
      </c>
      <c r="AU332" s="3">
        <v>2</v>
      </c>
      <c r="AV332" s="3"/>
      <c r="AW332" s="3"/>
      <c r="AX332" s="3"/>
      <c r="AY332" s="3"/>
      <c r="AZ332" s="3"/>
    </row>
    <row r="333" spans="1:52" ht="13" x14ac:dyDescent="0.3">
      <c r="A333" s="22" t="s">
        <v>345</v>
      </c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>
        <v>2</v>
      </c>
      <c r="AT333" s="3"/>
      <c r="AU333" s="3">
        <v>2</v>
      </c>
      <c r="AV333" s="3"/>
      <c r="AW333" s="3"/>
      <c r="AX333" s="3"/>
      <c r="AY333" s="3"/>
      <c r="AZ333" s="3"/>
    </row>
    <row r="334" spans="1:52" ht="13" x14ac:dyDescent="0.3">
      <c r="A334" s="22" t="s">
        <v>158</v>
      </c>
      <c r="B334" s="3">
        <v>2</v>
      </c>
      <c r="C334" s="3"/>
      <c r="D334" s="3"/>
      <c r="E334" s="3"/>
      <c r="F334" s="3"/>
      <c r="G334" s="3"/>
      <c r="H334" s="3"/>
      <c r="I334" s="3"/>
      <c r="J334" s="3">
        <v>3</v>
      </c>
      <c r="K334" s="3"/>
      <c r="L334" s="3"/>
      <c r="M334" s="3"/>
      <c r="N334" s="3"/>
      <c r="O334" s="3"/>
      <c r="P334" s="3"/>
      <c r="Q334" s="3"/>
      <c r="R334" s="3">
        <v>3</v>
      </c>
      <c r="S334" s="3"/>
      <c r="T334" s="3">
        <v>3</v>
      </c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>
        <v>2</v>
      </c>
      <c r="AI334" s="3"/>
      <c r="AJ334" s="3"/>
      <c r="AK334" s="3"/>
      <c r="AL334" s="3"/>
      <c r="AM334" s="3"/>
      <c r="AN334" s="3">
        <v>2</v>
      </c>
      <c r="AO334" s="3"/>
      <c r="AP334" s="3"/>
      <c r="AQ334" s="3">
        <v>3</v>
      </c>
      <c r="AR334" s="3">
        <v>3</v>
      </c>
      <c r="AS334" s="3">
        <v>3</v>
      </c>
      <c r="AT334" s="3">
        <v>3</v>
      </c>
      <c r="AU334" s="3">
        <v>3</v>
      </c>
      <c r="AV334" s="3">
        <v>3</v>
      </c>
      <c r="AW334" s="3">
        <v>3</v>
      </c>
      <c r="AX334" s="3"/>
      <c r="AY334" s="3"/>
      <c r="AZ334" s="3"/>
    </row>
    <row r="335" spans="1:52" ht="13" x14ac:dyDescent="0.3">
      <c r="A335" s="22" t="s">
        <v>346</v>
      </c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>
        <v>2</v>
      </c>
      <c r="AG335" s="3">
        <v>2</v>
      </c>
      <c r="AH335" s="3">
        <v>2</v>
      </c>
      <c r="AI335" s="3"/>
      <c r="AJ335" s="3">
        <v>3</v>
      </c>
      <c r="AK335" s="3">
        <v>2</v>
      </c>
      <c r="AL335" s="3">
        <v>3</v>
      </c>
      <c r="AM335" s="3"/>
      <c r="AN335" s="3">
        <v>2</v>
      </c>
      <c r="AO335" s="3">
        <v>2</v>
      </c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</row>
    <row r="336" spans="1:52" ht="13" x14ac:dyDescent="0.3">
      <c r="A336" s="22" t="s">
        <v>160</v>
      </c>
      <c r="B336" s="3">
        <v>2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>
        <v>3</v>
      </c>
      <c r="Z336" s="3"/>
      <c r="AA336" s="3">
        <v>3</v>
      </c>
      <c r="AB336" s="3">
        <v>2</v>
      </c>
      <c r="AC336" s="3">
        <v>2</v>
      </c>
      <c r="AD336" s="3">
        <v>2</v>
      </c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>
        <v>2</v>
      </c>
      <c r="AT336" s="3"/>
      <c r="AU336" s="3"/>
      <c r="AV336" s="3"/>
      <c r="AW336" s="3"/>
      <c r="AX336" s="3"/>
      <c r="AY336" s="3"/>
      <c r="AZ336" s="3"/>
    </row>
    <row r="337" spans="1:52" ht="13" x14ac:dyDescent="0.3">
      <c r="A337" s="22" t="s">
        <v>467</v>
      </c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>
        <v>1</v>
      </c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</row>
    <row r="338" spans="1:52" ht="13" x14ac:dyDescent="0.3">
      <c r="A338" s="22" t="s">
        <v>347</v>
      </c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>
        <v>2</v>
      </c>
      <c r="AT338" s="3"/>
      <c r="AU338" s="3"/>
      <c r="AV338" s="3"/>
      <c r="AW338" s="3">
        <v>2</v>
      </c>
      <c r="AX338" s="3"/>
      <c r="AY338" s="3"/>
      <c r="AZ338" s="3"/>
    </row>
    <row r="339" spans="1:52" ht="13" x14ac:dyDescent="0.3">
      <c r="A339" s="22" t="s">
        <v>161</v>
      </c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>
        <v>2</v>
      </c>
      <c r="AG339" s="3">
        <v>2</v>
      </c>
      <c r="AH339" s="3">
        <v>2</v>
      </c>
      <c r="AI339" s="3"/>
      <c r="AJ339" s="3">
        <v>2</v>
      </c>
      <c r="AK339" s="3">
        <v>2</v>
      </c>
      <c r="AL339" s="3">
        <v>2</v>
      </c>
      <c r="AM339" s="3"/>
      <c r="AN339" s="3">
        <v>2</v>
      </c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</row>
    <row r="340" spans="1:52" ht="13" x14ac:dyDescent="0.3">
      <c r="A340" s="22" t="s">
        <v>162</v>
      </c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>
        <v>2</v>
      </c>
      <c r="AH340" s="3"/>
      <c r="AI340" s="3"/>
      <c r="AJ340" s="3">
        <v>2</v>
      </c>
      <c r="AK340" s="3">
        <v>2</v>
      </c>
      <c r="AL340" s="3">
        <v>2</v>
      </c>
      <c r="AM340" s="3"/>
      <c r="AN340" s="3">
        <v>2</v>
      </c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2</v>
      </c>
      <c r="AY340" s="3"/>
      <c r="AZ340" s="3"/>
    </row>
    <row r="341" spans="1:52" ht="13" x14ac:dyDescent="0.3">
      <c r="A341" s="22" t="s">
        <v>163</v>
      </c>
      <c r="B341" s="3">
        <v>2</v>
      </c>
      <c r="C341" s="3"/>
      <c r="D341" s="3"/>
      <c r="E341" s="3"/>
      <c r="F341" s="3"/>
      <c r="G341" s="3"/>
      <c r="H341" s="3"/>
      <c r="I341" s="3"/>
      <c r="J341" s="3">
        <v>2</v>
      </c>
      <c r="K341" s="3"/>
      <c r="L341" s="3"/>
      <c r="M341" s="3"/>
      <c r="N341" s="3"/>
      <c r="O341" s="3"/>
      <c r="P341" s="3"/>
      <c r="Q341" s="3">
        <v>2</v>
      </c>
      <c r="R341" s="3">
        <v>2</v>
      </c>
      <c r="S341" s="3"/>
      <c r="T341" s="3"/>
      <c r="U341" s="3"/>
      <c r="V341" s="3"/>
      <c r="W341" s="3"/>
      <c r="X341" s="3"/>
      <c r="Y341" s="3">
        <v>2</v>
      </c>
      <c r="Z341" s="3">
        <v>2</v>
      </c>
      <c r="AA341" s="3"/>
      <c r="AB341" s="3">
        <v>2</v>
      </c>
      <c r="AC341" s="3">
        <v>2</v>
      </c>
      <c r="AD341" s="3">
        <v>2</v>
      </c>
      <c r="AE341" s="3"/>
      <c r="AF341" s="3"/>
      <c r="AG341" s="3">
        <v>2</v>
      </c>
      <c r="AH341" s="3">
        <v>2</v>
      </c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</row>
    <row r="342" spans="1:52" ht="13" x14ac:dyDescent="0.3">
      <c r="A342" s="22" t="s">
        <v>164</v>
      </c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>
        <v>2</v>
      </c>
      <c r="Y342" s="3"/>
      <c r="Z342" s="3"/>
      <c r="AA342" s="3">
        <v>3</v>
      </c>
      <c r="AB342" s="3">
        <v>3</v>
      </c>
      <c r="AC342" s="3">
        <v>3</v>
      </c>
      <c r="AD342" s="3">
        <v>3</v>
      </c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</row>
    <row r="343" spans="1:52" ht="13" x14ac:dyDescent="0.3">
      <c r="A343" s="22" t="s">
        <v>165</v>
      </c>
      <c r="B343" s="3">
        <v>2</v>
      </c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>
        <v>2</v>
      </c>
      <c r="Z343" s="3">
        <v>2</v>
      </c>
      <c r="AA343" s="3"/>
      <c r="AB343" s="3"/>
      <c r="AC343" s="3">
        <v>2</v>
      </c>
      <c r="AD343" s="3">
        <v>2</v>
      </c>
      <c r="AE343" s="3"/>
      <c r="AF343" s="3"/>
      <c r="AG343" s="3">
        <v>2</v>
      </c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</row>
    <row r="344" spans="1:52" ht="13" x14ac:dyDescent="0.3">
      <c r="A344" s="22" t="s">
        <v>428</v>
      </c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2</v>
      </c>
      <c r="AD344" s="3">
        <v>2</v>
      </c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</row>
    <row r="345" spans="1:52" ht="13" x14ac:dyDescent="0.3">
      <c r="A345" s="22" t="s">
        <v>426</v>
      </c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1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</row>
    <row r="346" spans="1:52" ht="13" x14ac:dyDescent="0.3">
      <c r="A346" s="22" t="s">
        <v>348</v>
      </c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>
        <v>2</v>
      </c>
      <c r="AT346" s="3"/>
      <c r="AU346" s="3">
        <v>2</v>
      </c>
      <c r="AV346" s="3"/>
      <c r="AW346" s="3"/>
      <c r="AX346" s="3"/>
      <c r="AY346" s="3"/>
      <c r="AZ346" s="3"/>
    </row>
    <row r="347" spans="1:52" ht="13" x14ac:dyDescent="0.3">
      <c r="A347" s="22" t="s">
        <v>349</v>
      </c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>
        <v>2</v>
      </c>
      <c r="AX347" s="3"/>
      <c r="AY347" s="3"/>
      <c r="AZ347" s="3"/>
    </row>
    <row r="348" spans="1:52" ht="13" x14ac:dyDescent="0.3">
      <c r="A348" s="22" t="s">
        <v>350</v>
      </c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2</v>
      </c>
      <c r="AY348" s="3"/>
      <c r="AZ348" s="3"/>
    </row>
    <row r="349" spans="1:52" ht="13" x14ac:dyDescent="0.3">
      <c r="A349" s="22" t="s">
        <v>351</v>
      </c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>
        <v>2</v>
      </c>
      <c r="AT349" s="3">
        <v>2</v>
      </c>
      <c r="AU349" s="3"/>
      <c r="AV349" s="3">
        <v>2</v>
      </c>
      <c r="AW349" s="3">
        <v>2</v>
      </c>
      <c r="AX349" s="3">
        <v>2</v>
      </c>
      <c r="AY349" s="3"/>
      <c r="AZ349" s="3"/>
    </row>
    <row r="350" spans="1:52" ht="13" x14ac:dyDescent="0.3">
      <c r="A350" s="22" t="s">
        <v>352</v>
      </c>
      <c r="B350" s="3"/>
      <c r="C350" s="3"/>
      <c r="D350" s="3"/>
      <c r="E350" s="3"/>
      <c r="F350" s="3"/>
      <c r="G350" s="3"/>
      <c r="H350" s="3">
        <v>2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</row>
    <row r="351" spans="1:52" ht="13" x14ac:dyDescent="0.3">
      <c r="A351" s="22" t="s">
        <v>353</v>
      </c>
      <c r="B351" s="3"/>
      <c r="C351" s="3"/>
      <c r="D351" s="3">
        <v>2</v>
      </c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</row>
    <row r="352" spans="1:52" ht="13" x14ac:dyDescent="0.3">
      <c r="A352" s="22" t="s">
        <v>354</v>
      </c>
      <c r="B352" s="3"/>
      <c r="C352" s="3"/>
      <c r="D352" s="3"/>
      <c r="E352" s="3"/>
      <c r="F352" s="3"/>
      <c r="G352" s="3"/>
      <c r="H352" s="3"/>
      <c r="I352" s="3"/>
      <c r="J352" s="3">
        <v>2</v>
      </c>
      <c r="K352" s="3"/>
      <c r="L352" s="3"/>
      <c r="M352" s="3"/>
      <c r="N352" s="3"/>
      <c r="O352" s="3"/>
      <c r="P352" s="3"/>
      <c r="Q352" s="3">
        <v>2</v>
      </c>
      <c r="R352" s="3">
        <v>2</v>
      </c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>
        <v>2</v>
      </c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</row>
    <row r="353" spans="1:54" ht="13" x14ac:dyDescent="0.3">
      <c r="A353" s="22" t="s">
        <v>166</v>
      </c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>
        <v>2</v>
      </c>
      <c r="S353" s="3"/>
      <c r="T353" s="3"/>
      <c r="U353" s="3"/>
      <c r="V353" s="3"/>
      <c r="W353" s="3"/>
      <c r="X353" s="3"/>
      <c r="Y353" s="3">
        <v>2</v>
      </c>
      <c r="Z353" s="3">
        <v>2</v>
      </c>
      <c r="AA353" s="3"/>
      <c r="AB353" s="3"/>
      <c r="AC353" s="3">
        <v>2</v>
      </c>
      <c r="AD353" s="3">
        <v>2</v>
      </c>
      <c r="AE353" s="3"/>
      <c r="AF353" s="3">
        <v>3</v>
      </c>
      <c r="AG353" s="3">
        <v>3</v>
      </c>
      <c r="AH353" s="3">
        <v>3</v>
      </c>
      <c r="AI353" s="3"/>
      <c r="AJ353" s="3">
        <v>3</v>
      </c>
      <c r="AK353" s="3">
        <v>2</v>
      </c>
      <c r="AL353" s="3">
        <v>3</v>
      </c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</row>
    <row r="354" spans="1:54" ht="13" x14ac:dyDescent="0.3">
      <c r="A354" s="22" t="s">
        <v>355</v>
      </c>
      <c r="B354" s="3"/>
      <c r="C354" s="3"/>
      <c r="D354" s="3"/>
      <c r="E354" s="3"/>
      <c r="F354" s="3"/>
      <c r="G354" s="3"/>
      <c r="H354" s="3">
        <v>2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2</v>
      </c>
      <c r="AD354" s="3">
        <v>2</v>
      </c>
      <c r="AE354" s="3"/>
      <c r="AF354" s="3"/>
      <c r="AG354" s="3">
        <v>2</v>
      </c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>
        <v>2</v>
      </c>
      <c r="AV354" s="3"/>
      <c r="AW354" s="3"/>
      <c r="AX354" s="3"/>
      <c r="AY354" s="3"/>
      <c r="AZ354" s="3"/>
    </row>
    <row r="355" spans="1:54" ht="13" x14ac:dyDescent="0.3">
      <c r="A355" s="22" t="s">
        <v>356</v>
      </c>
      <c r="B355" s="3"/>
      <c r="C355" s="3"/>
      <c r="D355" s="3">
        <v>2</v>
      </c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</row>
    <row r="356" spans="1:54" ht="13" x14ac:dyDescent="0.3">
      <c r="A356" s="22" t="s">
        <v>357</v>
      </c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>
        <v>2</v>
      </c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>
        <v>2</v>
      </c>
      <c r="AX356" s="3"/>
      <c r="AY356" s="3"/>
      <c r="AZ356" s="3"/>
    </row>
    <row r="357" spans="1:54" ht="13" x14ac:dyDescent="0.3">
      <c r="A357" s="22" t="s">
        <v>358</v>
      </c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>
        <v>3</v>
      </c>
      <c r="AR357" s="3">
        <v>3</v>
      </c>
      <c r="AS357" s="3">
        <v>3</v>
      </c>
      <c r="AT357" s="3">
        <v>3</v>
      </c>
      <c r="AU357" s="3">
        <v>3</v>
      </c>
      <c r="AV357" s="3">
        <v>2</v>
      </c>
      <c r="AW357" s="3">
        <v>3</v>
      </c>
      <c r="AX357" s="3"/>
      <c r="AY357" s="3"/>
      <c r="AZ357" s="3">
        <v>3</v>
      </c>
    </row>
    <row r="358" spans="1:54" ht="13" x14ac:dyDescent="0.3">
      <c r="A358" s="22" t="s">
        <v>385</v>
      </c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>
        <v>2</v>
      </c>
      <c r="AV358" s="3"/>
      <c r="AW358" s="3"/>
      <c r="AX358" s="3"/>
      <c r="AY358" s="3"/>
      <c r="AZ358" s="3"/>
    </row>
    <row r="359" spans="1:54" ht="13" x14ac:dyDescent="0.3">
      <c r="A359" s="22" t="s">
        <v>359</v>
      </c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>
        <v>1</v>
      </c>
      <c r="AT359" s="3"/>
      <c r="AU359" s="3"/>
      <c r="AV359" s="3"/>
      <c r="AW359" s="3"/>
      <c r="AX359" s="3"/>
      <c r="AY359" s="3"/>
      <c r="AZ359" s="3"/>
    </row>
    <row r="360" spans="1:54" ht="13" x14ac:dyDescent="0.3">
      <c r="A360" s="22" t="s">
        <v>468</v>
      </c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1</v>
      </c>
      <c r="AD360" s="3">
        <v>1</v>
      </c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</row>
    <row r="361" spans="1:54" ht="13" x14ac:dyDescent="0.3">
      <c r="A361" s="22" t="s">
        <v>167</v>
      </c>
      <c r="B361" s="3">
        <v>2</v>
      </c>
      <c r="C361" s="3"/>
      <c r="D361" s="3"/>
      <c r="E361" s="3"/>
      <c r="F361" s="3"/>
      <c r="G361" s="3"/>
      <c r="H361" s="3"/>
      <c r="I361" s="3"/>
      <c r="J361" s="3">
        <v>2</v>
      </c>
      <c r="K361" s="3"/>
      <c r="L361" s="3"/>
      <c r="M361" s="3"/>
      <c r="N361" s="3">
        <v>2</v>
      </c>
      <c r="O361" s="3"/>
      <c r="P361" s="3"/>
      <c r="Q361" s="3"/>
      <c r="R361" s="3">
        <v>2</v>
      </c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2</v>
      </c>
      <c r="AD361" s="3">
        <v>2</v>
      </c>
      <c r="AE361" s="3"/>
      <c r="AF361" s="3"/>
      <c r="AG361" s="3">
        <v>2</v>
      </c>
      <c r="AH361" s="3">
        <v>2</v>
      </c>
      <c r="AI361" s="3"/>
      <c r="AJ361" s="3"/>
      <c r="AK361" s="3"/>
      <c r="AL361" s="3"/>
      <c r="AM361" s="3"/>
      <c r="AN361" s="3"/>
      <c r="AO361" s="3"/>
      <c r="AP361" s="3"/>
      <c r="AQ361" s="3">
        <v>2</v>
      </c>
      <c r="AR361" s="3">
        <v>2</v>
      </c>
      <c r="AS361" s="3">
        <v>2</v>
      </c>
      <c r="AT361" s="3">
        <v>2</v>
      </c>
      <c r="AU361" s="3">
        <v>2</v>
      </c>
      <c r="AV361" s="3"/>
      <c r="AW361" s="3"/>
      <c r="AX361" s="3"/>
      <c r="AY361" s="3"/>
      <c r="AZ361" s="3">
        <v>1</v>
      </c>
    </row>
    <row r="362" spans="1:54" ht="13" x14ac:dyDescent="0.3">
      <c r="A362" s="22" t="s">
        <v>360</v>
      </c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>
        <v>2</v>
      </c>
      <c r="AR362" s="3"/>
      <c r="AS362" s="3">
        <v>2</v>
      </c>
      <c r="AT362" s="3">
        <v>2</v>
      </c>
      <c r="AU362" s="3"/>
      <c r="AV362" s="3"/>
      <c r="AW362" s="3">
        <v>2</v>
      </c>
      <c r="AX362" s="3">
        <v>2</v>
      </c>
      <c r="AY362" s="3"/>
      <c r="AZ362" s="3"/>
    </row>
    <row r="363" spans="1:54" ht="13" x14ac:dyDescent="0.3">
      <c r="A363" s="22" t="s">
        <v>361</v>
      </c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>
        <v>1</v>
      </c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>
        <v>3</v>
      </c>
      <c r="AG363" s="3">
        <v>3</v>
      </c>
      <c r="AH363" s="3"/>
      <c r="AI363" s="3"/>
      <c r="AJ363" s="3">
        <v>3</v>
      </c>
      <c r="AK363" s="3"/>
      <c r="AL363" s="3">
        <v>3</v>
      </c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1">
        <f>(COUNTIF($B$2:$AZ$251,1))</f>
        <v>122</v>
      </c>
    </row>
    <row r="364" spans="1:54" ht="13" x14ac:dyDescent="0.3">
      <c r="A364" s="22" t="s">
        <v>381</v>
      </c>
      <c r="B364" s="3"/>
      <c r="C364" s="3"/>
      <c r="D364" s="3">
        <v>2</v>
      </c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1">
        <f>(COUNTIF($C$2:$AW$251,2))</f>
        <v>600</v>
      </c>
      <c r="BB364" s="1">
        <f>BA361-669</f>
        <v>-669</v>
      </c>
    </row>
    <row r="365" spans="1:54" ht="13" x14ac:dyDescent="0.3">
      <c r="A365" s="22" t="s">
        <v>382</v>
      </c>
      <c r="B365" s="3"/>
      <c r="C365" s="3"/>
      <c r="D365" s="3">
        <v>2</v>
      </c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1">
        <f>(COUNTIF($C$2:$AW$251,3))</f>
        <v>169</v>
      </c>
      <c r="BB365" s="1">
        <f>BA365-306</f>
        <v>-137</v>
      </c>
    </row>
    <row r="366" spans="1:54" ht="13" x14ac:dyDescent="0.3">
      <c r="A366" s="22" t="s">
        <v>362</v>
      </c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>
        <v>2</v>
      </c>
      <c r="AB366" s="3">
        <v>3</v>
      </c>
      <c r="AC366" s="3">
        <v>2</v>
      </c>
      <c r="AD366" s="3">
        <v>2</v>
      </c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</row>
    <row r="367" spans="1:54" ht="13" x14ac:dyDescent="0.3">
      <c r="A367" s="22" t="s">
        <v>169</v>
      </c>
      <c r="B367" s="3"/>
      <c r="C367" s="3"/>
      <c r="D367" s="3"/>
      <c r="E367" s="3"/>
      <c r="F367" s="3"/>
      <c r="G367" s="3"/>
      <c r="H367" s="3"/>
      <c r="I367" s="3"/>
      <c r="J367" s="3">
        <v>2</v>
      </c>
      <c r="K367" s="3"/>
      <c r="L367" s="3"/>
      <c r="M367" s="3"/>
      <c r="N367" s="3"/>
      <c r="O367" s="3"/>
      <c r="P367" s="3"/>
      <c r="Q367" s="3">
        <v>2</v>
      </c>
      <c r="R367" s="3">
        <v>2</v>
      </c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>
        <v>2</v>
      </c>
      <c r="AG367" s="3">
        <v>2</v>
      </c>
      <c r="AH367" s="3">
        <v>2</v>
      </c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</row>
    <row r="368" spans="1:54" ht="13" x14ac:dyDescent="0.3">
      <c r="A368" s="22" t="s">
        <v>363</v>
      </c>
      <c r="B368" s="3"/>
      <c r="C368" s="3"/>
      <c r="D368" s="3"/>
      <c r="E368" s="3"/>
      <c r="F368" s="3"/>
      <c r="G368" s="3"/>
      <c r="H368" s="3">
        <v>2</v>
      </c>
      <c r="I368" s="3"/>
      <c r="J368" s="3">
        <v>2</v>
      </c>
      <c r="K368" s="3"/>
      <c r="L368" s="3"/>
      <c r="M368" s="3"/>
      <c r="N368" s="3"/>
      <c r="O368" s="3"/>
      <c r="P368" s="3">
        <v>2</v>
      </c>
      <c r="Q368" s="3">
        <v>2</v>
      </c>
      <c r="R368" s="3">
        <v>2</v>
      </c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>
        <v>2</v>
      </c>
      <c r="AI368" s="3"/>
      <c r="AJ368" s="3"/>
      <c r="AK368" s="3"/>
      <c r="AL368" s="3"/>
      <c r="AM368" s="3"/>
      <c r="AN368" s="3">
        <v>2</v>
      </c>
      <c r="AO368" s="3"/>
      <c r="AP368" s="3"/>
      <c r="AQ368" s="3">
        <v>2</v>
      </c>
      <c r="AR368" s="3">
        <v>2</v>
      </c>
      <c r="AS368" s="3">
        <v>2</v>
      </c>
      <c r="AT368" s="3">
        <v>2</v>
      </c>
      <c r="AU368" s="3">
        <v>2</v>
      </c>
      <c r="AV368" s="3"/>
      <c r="AW368" s="3"/>
      <c r="AX368" s="3"/>
      <c r="AY368" s="3"/>
      <c r="AZ368" s="3"/>
    </row>
    <row r="369" spans="1:52" ht="13" x14ac:dyDescent="0.3">
      <c r="A369" s="22" t="s">
        <v>364</v>
      </c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2</v>
      </c>
      <c r="AY369" s="3"/>
      <c r="AZ369" s="3"/>
    </row>
    <row r="370" spans="1:52" ht="13" x14ac:dyDescent="0.3">
      <c r="A370" s="22" t="s">
        <v>365</v>
      </c>
      <c r="B370" s="3"/>
      <c r="C370" s="3"/>
      <c r="D370" s="3"/>
      <c r="E370" s="3"/>
      <c r="F370" s="3"/>
      <c r="G370" s="3"/>
      <c r="H370" s="3"/>
      <c r="I370" s="3"/>
      <c r="J370" s="3">
        <v>2</v>
      </c>
      <c r="K370" s="3"/>
      <c r="L370" s="3"/>
      <c r="M370" s="3"/>
      <c r="N370" s="3"/>
      <c r="O370" s="3"/>
      <c r="P370" s="3"/>
      <c r="Q370" s="3"/>
      <c r="R370" s="3">
        <v>2</v>
      </c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>
        <v>2</v>
      </c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</row>
    <row r="371" spans="1:52" ht="13" x14ac:dyDescent="0.3">
      <c r="A371" s="22" t="s">
        <v>170</v>
      </c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>
        <v>2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>
        <v>3</v>
      </c>
      <c r="AG371" s="3">
        <v>2</v>
      </c>
      <c r="AH371" s="3">
        <v>2</v>
      </c>
      <c r="AI371" s="3"/>
      <c r="AJ371" s="3">
        <v>3</v>
      </c>
      <c r="AK371" s="3">
        <v>2</v>
      </c>
      <c r="AL371" s="3">
        <v>2</v>
      </c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</row>
    <row r="372" spans="1:52" ht="13" x14ac:dyDescent="0.3">
      <c r="A372" s="22" t="s">
        <v>366</v>
      </c>
      <c r="B372" s="3">
        <v>2</v>
      </c>
      <c r="C372" s="3"/>
      <c r="D372" s="3"/>
      <c r="E372" s="3"/>
      <c r="F372" s="3"/>
      <c r="G372" s="3"/>
      <c r="H372" s="3"/>
      <c r="I372" s="3"/>
      <c r="J372" s="3">
        <v>2</v>
      </c>
      <c r="K372" s="3"/>
      <c r="L372" s="3"/>
      <c r="M372" s="3"/>
      <c r="N372" s="3"/>
      <c r="O372" s="3"/>
      <c r="P372" s="3"/>
      <c r="Q372" s="3">
        <v>2</v>
      </c>
      <c r="R372" s="3">
        <v>2</v>
      </c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>
        <v>2</v>
      </c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</row>
    <row r="373" spans="1:52" ht="13" x14ac:dyDescent="0.3">
      <c r="A373" s="22" t="s">
        <v>395</v>
      </c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>
        <v>2</v>
      </c>
      <c r="AT373" s="3"/>
      <c r="AU373" s="3"/>
      <c r="AV373" s="3"/>
      <c r="AW373" s="3"/>
      <c r="AX373" s="3"/>
      <c r="AY373" s="3"/>
      <c r="AZ373" s="3"/>
    </row>
    <row r="374" spans="1:52" ht="13" x14ac:dyDescent="0.3">
      <c r="A374" s="22" t="s">
        <v>373</v>
      </c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>
        <v>2</v>
      </c>
      <c r="AX374" s="3">
        <v>1</v>
      </c>
      <c r="AY374" s="3"/>
      <c r="AZ374" s="3"/>
    </row>
    <row r="375" spans="1:52" ht="13" x14ac:dyDescent="0.3">
      <c r="A375" s="22" t="s">
        <v>368</v>
      </c>
      <c r="B375" s="3">
        <v>2</v>
      </c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>
        <v>2</v>
      </c>
      <c r="Z375" s="3">
        <v>2</v>
      </c>
      <c r="AA375" s="3"/>
      <c r="AB375" s="3"/>
      <c r="AC375" s="3">
        <v>2</v>
      </c>
      <c r="AD375" s="3">
        <v>2</v>
      </c>
      <c r="AE375" s="3"/>
      <c r="AF375" s="3"/>
      <c r="AG375" s="3">
        <v>2</v>
      </c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</row>
    <row r="376" spans="1:52" ht="13" x14ac:dyDescent="0.3">
      <c r="A376" s="22" t="s">
        <v>172</v>
      </c>
      <c r="B376" s="3"/>
      <c r="C376" s="3"/>
      <c r="D376" s="3"/>
      <c r="E376" s="3"/>
      <c r="F376" s="3"/>
      <c r="G376" s="3">
        <v>1</v>
      </c>
      <c r="H376" s="3"/>
      <c r="I376" s="3">
        <v>2</v>
      </c>
      <c r="J376" s="3"/>
      <c r="K376" s="3"/>
      <c r="L376" s="3"/>
      <c r="M376" s="3"/>
      <c r="N376" s="3"/>
      <c r="O376" s="3"/>
      <c r="P376" s="3"/>
      <c r="Q376" s="3"/>
      <c r="R376" s="3"/>
      <c r="S376" s="3">
        <v>3</v>
      </c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</row>
    <row r="377" spans="1:52" ht="13" x14ac:dyDescent="0.3">
      <c r="A377" s="22" t="s">
        <v>173</v>
      </c>
      <c r="B377" s="3"/>
      <c r="C377" s="3"/>
      <c r="D377" s="3"/>
      <c r="E377" s="3"/>
      <c r="F377" s="3"/>
      <c r="G377" s="3">
        <v>2</v>
      </c>
      <c r="H377" s="3"/>
      <c r="I377" s="3">
        <v>2</v>
      </c>
      <c r="J377" s="3"/>
      <c r="K377" s="3"/>
      <c r="L377" s="3"/>
      <c r="M377" s="3"/>
      <c r="N377" s="3"/>
      <c r="O377" s="3"/>
      <c r="P377" s="3"/>
      <c r="Q377" s="3"/>
      <c r="R377" s="3"/>
      <c r="S377" s="3">
        <v>3</v>
      </c>
      <c r="T377" s="3"/>
      <c r="U377" s="3"/>
      <c r="V377" s="3"/>
      <c r="W377" s="3"/>
      <c r="X377" s="3"/>
      <c r="Y377" s="3"/>
      <c r="Z377" s="3"/>
      <c r="AA377" s="3"/>
      <c r="AB377" s="3"/>
      <c r="AC377" s="3">
        <v>2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>
        <v>1</v>
      </c>
      <c r="AT377" s="3"/>
      <c r="AU377" s="3"/>
      <c r="AV377" s="3"/>
      <c r="AW377" s="3"/>
      <c r="AX377" s="3"/>
      <c r="AY377" s="3"/>
      <c r="AZ377" s="3"/>
    </row>
    <row r="378" spans="1:52" ht="13.5" customHeight="1" x14ac:dyDescent="0.3">
      <c r="A378" s="22" t="s">
        <v>174</v>
      </c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>
        <v>2</v>
      </c>
      <c r="Z378" s="3">
        <v>3</v>
      </c>
      <c r="AA378" s="3">
        <v>2</v>
      </c>
      <c r="AB378" s="3">
        <v>2</v>
      </c>
      <c r="AC378" s="3">
        <v>3</v>
      </c>
      <c r="AD378" s="3">
        <v>3</v>
      </c>
      <c r="AE378" s="3"/>
      <c r="AF378" s="3"/>
      <c r="AG378" s="3">
        <v>2</v>
      </c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</row>
    <row r="379" spans="1:52" ht="13" x14ac:dyDescent="0.3">
      <c r="A379" s="22" t="s">
        <v>446</v>
      </c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1</v>
      </c>
      <c r="AD379" s="3">
        <v>1</v>
      </c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</row>
    <row r="380" spans="1:52" ht="13" x14ac:dyDescent="0.3">
      <c r="A380" s="22" t="s">
        <v>369</v>
      </c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>
        <v>2</v>
      </c>
      <c r="AU380" s="3"/>
      <c r="AV380" s="3">
        <v>2</v>
      </c>
      <c r="AW380" s="3"/>
      <c r="AX380" s="3">
        <v>2</v>
      </c>
      <c r="AY380" s="3"/>
      <c r="AZ380" s="3"/>
    </row>
    <row r="381" spans="1:52" ht="13" x14ac:dyDescent="0.3">
      <c r="A381" s="22" t="s">
        <v>422</v>
      </c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>
        <v>1</v>
      </c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</row>
    <row r="382" spans="1:52" ht="13" x14ac:dyDescent="0.3">
      <c r="A382" s="22" t="s">
        <v>370</v>
      </c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>
        <v>2</v>
      </c>
      <c r="AR382" s="3"/>
      <c r="AS382" s="3">
        <v>2</v>
      </c>
      <c r="AT382" s="3"/>
      <c r="AU382" s="3"/>
      <c r="AV382" s="3"/>
      <c r="AW382" s="3"/>
      <c r="AX382" s="3"/>
      <c r="AY382" s="3"/>
      <c r="AZ382" s="3"/>
    </row>
    <row r="383" spans="1:52" ht="13" x14ac:dyDescent="0.3">
      <c r="A383" s="22" t="s">
        <v>371</v>
      </c>
      <c r="B383" s="3"/>
      <c r="C383" s="3"/>
      <c r="D383" s="3"/>
      <c r="E383" s="3"/>
      <c r="F383" s="3"/>
      <c r="G383" s="3"/>
      <c r="H383" s="3"/>
      <c r="I383" s="3"/>
      <c r="J383" s="3"/>
      <c r="K383" s="3">
        <v>2</v>
      </c>
      <c r="L383" s="3"/>
      <c r="M383" s="3"/>
      <c r="N383" s="3">
        <v>2</v>
      </c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2</v>
      </c>
      <c r="AD383" s="3">
        <v>2</v>
      </c>
      <c r="AE383" s="3">
        <v>2</v>
      </c>
      <c r="AF383" s="3"/>
      <c r="AG383" s="3">
        <v>2</v>
      </c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</row>
    <row r="384" spans="1:52" ht="13" x14ac:dyDescent="0.3">
      <c r="A384" s="22" t="s">
        <v>482</v>
      </c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>
        <v>1</v>
      </c>
      <c r="AG384" s="3"/>
      <c r="AH384" s="3"/>
      <c r="AI384" s="3"/>
      <c r="AJ384" s="3">
        <v>1</v>
      </c>
      <c r="AK384" s="3"/>
      <c r="AL384" s="3"/>
      <c r="AM384" s="3"/>
      <c r="AN384" s="3">
        <v>1</v>
      </c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</row>
    <row r="387" spans="1:53" ht="13" x14ac:dyDescent="0.3">
      <c r="B387" s="14"/>
      <c r="C387" s="14"/>
      <c r="D387" s="14"/>
      <c r="E387" s="14"/>
      <c r="S387" s="15"/>
    </row>
    <row r="388" spans="1:53" ht="13" x14ac:dyDescent="0.25">
      <c r="A388" s="10" t="s">
        <v>32</v>
      </c>
    </row>
    <row r="389" spans="1:53" ht="13" x14ac:dyDescent="0.3">
      <c r="A389" s="5"/>
    </row>
    <row r="390" spans="1:53" ht="13" x14ac:dyDescent="0.3">
      <c r="A390" s="35" t="s">
        <v>46</v>
      </c>
      <c r="B390" s="1" t="s">
        <v>47</v>
      </c>
    </row>
    <row r="391" spans="1:53" ht="13" x14ac:dyDescent="0.3">
      <c r="A391" s="5"/>
    </row>
    <row r="392" spans="1:53" ht="13" x14ac:dyDescent="0.3">
      <c r="A392" s="7" t="s">
        <v>35</v>
      </c>
      <c r="B392" s="1" t="s">
        <v>35</v>
      </c>
    </row>
    <row r="393" spans="1:53" ht="13" x14ac:dyDescent="0.3">
      <c r="A393" s="5"/>
    </row>
    <row r="394" spans="1:53" ht="13" x14ac:dyDescent="0.3">
      <c r="A394" s="9" t="s">
        <v>42</v>
      </c>
      <c r="B394" s="38" t="s">
        <v>43</v>
      </c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38"/>
      <c r="AP394" s="38"/>
      <c r="AQ394" s="38"/>
      <c r="AR394" s="38"/>
      <c r="AS394" s="38"/>
      <c r="AT394" s="38"/>
      <c r="AU394" s="38"/>
      <c r="AV394" s="38"/>
      <c r="AW394" s="38"/>
      <c r="AX394" s="38"/>
      <c r="AY394" s="38"/>
      <c r="AZ394" s="38"/>
      <c r="BA394" s="38"/>
    </row>
    <row r="395" spans="1:53" ht="13" x14ac:dyDescent="0.3">
      <c r="A395" s="5"/>
    </row>
    <row r="410" spans="1:52" ht="15" customHeight="1" x14ac:dyDescent="0.3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</row>
    <row r="411" spans="1:52" ht="12.75" customHeight="1" x14ac:dyDescent="0.3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  <c r="AZ411" s="26"/>
    </row>
    <row r="412" spans="1:52" ht="13" x14ac:dyDescent="0.3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26"/>
    </row>
    <row r="413" spans="1:52" ht="13" x14ac:dyDescent="0.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26"/>
    </row>
  </sheetData>
  <autoFilter ref="A3:AZ385" xr:uid="{76DE0837-F9FF-4008-9207-D74B5B1CD4E5}">
    <sortState xmlns:xlrd2="http://schemas.microsoft.com/office/spreadsheetml/2017/richdata2" ref="A4:AZ385">
      <sortCondition ref="A3:A385"/>
    </sortState>
  </autoFilter>
  <mergeCells count="3">
    <mergeCell ref="A1:AZ1"/>
    <mergeCell ref="A2:AZ2"/>
    <mergeCell ref="B394:BA394"/>
  </mergeCells>
  <conditionalFormatting sqref="A390">
    <cfRule type="cellIs" dxfId="11" priority="1" operator="equal">
      <formula>4</formula>
    </cfRule>
    <cfRule type="cellIs" dxfId="10" priority="2" operator="equal">
      <formula>3</formula>
    </cfRule>
    <cfRule type="cellIs" dxfId="9" priority="3" operator="equal">
      <formula>2</formula>
    </cfRule>
    <cfRule type="cellIs" dxfId="8" priority="4" operator="equal">
      <formula>1</formula>
    </cfRule>
  </conditionalFormatting>
  <conditionalFormatting sqref="B4:AZ384 B410:AZ413">
    <cfRule type="cellIs" dxfId="7" priority="102" operator="equal">
      <formula>4</formula>
    </cfRule>
    <cfRule type="cellIs" dxfId="6" priority="118" operator="equal">
      <formula>3</formula>
    </cfRule>
    <cfRule type="cellIs" dxfId="5" priority="119" operator="equal">
      <formula>2</formula>
    </cfRule>
    <cfRule type="cellIs" dxfId="4" priority="120" operator="equal">
      <formula>1</formula>
    </cfRule>
  </conditionalFormatting>
  <pageMargins left="0.70866141732283472" right="0.70866141732283472" top="0.98425196850393704" bottom="1.1811023622047245" header="0.31496062992125984" footer="0.31496062992125984"/>
  <pageSetup scale="59" fitToHeight="0" orientation="landscape" r:id="rId1"/>
  <headerFooter>
    <oddHeader xml:space="preserve">&amp;L&amp;10&amp;G&amp;R&amp;"Arial,Negrita"DOC ID:&amp;"Arial,Normal" TPL-708
&amp;"Arial,Negrita" Version:&amp;"Arial,Normal" 4&amp;"-,Normal"
</oddHeader>
    <oddFooter>&amp;LTPL-708 [4]
&amp;C&amp;G
Versión: 2.90
Fecha: 12-Feb-2026&amp;R&amp;P de &amp;N</oddFooter>
  </headerFooter>
  <legacy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826C-DA64-47E2-B71C-CF95E3810D4D}">
  <dimension ref="A1:GW254"/>
  <sheetViews>
    <sheetView topLeftCell="O1" zoomScaleNormal="100" workbookViewId="0">
      <selection activeCell="AX1" sqref="AX1:AY3"/>
    </sheetView>
  </sheetViews>
  <sheetFormatPr defaultColWidth="5.54296875" defaultRowHeight="14.5" x14ac:dyDescent="0.35"/>
  <cols>
    <col min="1" max="1" width="21" style="1" customWidth="1"/>
    <col min="2" max="2" width="19" customWidth="1"/>
    <col min="3" max="49" width="5.54296875" customWidth="1"/>
  </cols>
  <sheetData>
    <row r="1" spans="1:51" s="1" customFormat="1" ht="13" x14ac:dyDescent="0.3">
      <c r="A1" s="1" t="s">
        <v>209</v>
      </c>
      <c r="B1" s="23" t="s">
        <v>209</v>
      </c>
      <c r="C1" s="20">
        <v>3</v>
      </c>
      <c r="D1" s="20">
        <v>3</v>
      </c>
      <c r="E1" s="20">
        <v>3</v>
      </c>
      <c r="F1" s="20">
        <v>3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1">
        <f>(COUNTIF($C$1:$AW$254,4))</f>
        <v>8</v>
      </c>
    </row>
    <row r="2" spans="1:51" s="1" customFormat="1" ht="13" x14ac:dyDescent="0.3">
      <c r="A2" s="1" t="s">
        <v>31</v>
      </c>
      <c r="B2" s="23" t="s">
        <v>31</v>
      </c>
      <c r="C2" s="20"/>
      <c r="D2" s="20"/>
      <c r="E2" s="20"/>
      <c r="F2" s="20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1">
        <f>(COUNTIF($C$1:$AW$254,1))</f>
        <v>80</v>
      </c>
      <c r="AY2" s="1">
        <f>AX2-669</f>
        <v>-589</v>
      </c>
    </row>
    <row r="3" spans="1:51" s="1" customFormat="1" ht="15.5" x14ac:dyDescent="0.3">
      <c r="A3" s="27" t="s">
        <v>210</v>
      </c>
      <c r="B3" s="23" t="s">
        <v>210</v>
      </c>
      <c r="C3" s="20"/>
      <c r="D3" s="20"/>
      <c r="E3" s="20"/>
      <c r="F3" s="20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1">
        <f>(COUNTIF($C$1:$AW$254,3))</f>
        <v>67</v>
      </c>
      <c r="AY3" s="1">
        <f>AX3-306</f>
        <v>-239</v>
      </c>
    </row>
    <row r="4" spans="1:51" s="1" customFormat="1" ht="13" x14ac:dyDescent="0.3">
      <c r="A4" s="28" t="s">
        <v>211</v>
      </c>
      <c r="B4" s="23" t="s">
        <v>211</v>
      </c>
      <c r="C4" s="20"/>
      <c r="D4" s="20"/>
      <c r="E4" s="20"/>
      <c r="F4" s="20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</row>
    <row r="5" spans="1:51" s="1" customFormat="1" ht="13" x14ac:dyDescent="0.3">
      <c r="A5" s="28" t="s">
        <v>212</v>
      </c>
      <c r="B5" s="23" t="s">
        <v>212</v>
      </c>
      <c r="C5" s="20"/>
      <c r="D5" s="20"/>
      <c r="E5" s="20"/>
      <c r="F5" s="20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</row>
    <row r="6" spans="1:51" s="1" customFormat="1" ht="13" x14ac:dyDescent="0.3">
      <c r="A6" s="28" t="s">
        <v>213</v>
      </c>
      <c r="B6" s="23" t="s">
        <v>213</v>
      </c>
      <c r="C6" s="20"/>
      <c r="D6" s="20"/>
      <c r="E6" s="20"/>
      <c r="F6" s="20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</row>
    <row r="7" spans="1:51" s="1" customFormat="1" ht="13" x14ac:dyDescent="0.3">
      <c r="A7" s="28" t="s">
        <v>214</v>
      </c>
      <c r="B7" s="23" t="s">
        <v>214</v>
      </c>
      <c r="C7" s="20"/>
      <c r="D7" s="20"/>
      <c r="E7" s="20"/>
      <c r="F7" s="20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</row>
    <row r="8" spans="1:51" s="1" customFormat="1" ht="13" x14ac:dyDescent="0.3">
      <c r="A8" s="28" t="s">
        <v>215</v>
      </c>
      <c r="B8" s="23" t="s">
        <v>215</v>
      </c>
      <c r="C8" s="20"/>
      <c r="D8" s="20"/>
      <c r="E8" s="20"/>
      <c r="F8" s="20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</row>
    <row r="9" spans="1:51" s="1" customFormat="1" ht="13" x14ac:dyDescent="0.3">
      <c r="A9" s="28" t="s">
        <v>34</v>
      </c>
      <c r="B9" s="23" t="s">
        <v>34</v>
      </c>
      <c r="C9" s="20">
        <v>3</v>
      </c>
      <c r="D9" s="20"/>
      <c r="E9" s="20"/>
      <c r="F9" s="20"/>
      <c r="G9" s="3"/>
      <c r="H9" s="3"/>
      <c r="I9" s="3"/>
      <c r="J9" s="3"/>
      <c r="K9" s="3">
        <v>1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</row>
    <row r="10" spans="1:51" s="1" customFormat="1" ht="13" x14ac:dyDescent="0.3">
      <c r="A10" s="28" t="s">
        <v>218</v>
      </c>
      <c r="B10" s="23" t="s">
        <v>218</v>
      </c>
      <c r="C10" s="20"/>
      <c r="D10" s="20"/>
      <c r="E10" s="20"/>
      <c r="F10" s="20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</row>
    <row r="11" spans="1:51" s="1" customFormat="1" ht="13" x14ac:dyDescent="0.3">
      <c r="A11" s="28" t="s">
        <v>37</v>
      </c>
      <c r="B11" s="23" t="s">
        <v>37</v>
      </c>
      <c r="C11" s="20"/>
      <c r="D11" s="20"/>
      <c r="E11" s="20"/>
      <c r="F11" s="20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</row>
    <row r="12" spans="1:51" s="1" customFormat="1" ht="13" x14ac:dyDescent="0.3">
      <c r="A12" s="28" t="s">
        <v>219</v>
      </c>
      <c r="B12" s="23" t="s">
        <v>219</v>
      </c>
      <c r="C12" s="20">
        <v>1</v>
      </c>
      <c r="D12" s="20"/>
      <c r="E12" s="20"/>
      <c r="F12" s="20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</row>
    <row r="13" spans="1:51" s="1" customFormat="1" ht="13" x14ac:dyDescent="0.3">
      <c r="A13" s="28" t="s">
        <v>221</v>
      </c>
      <c r="B13" s="23" t="s">
        <v>221</v>
      </c>
      <c r="C13" s="20"/>
      <c r="D13" s="20"/>
      <c r="E13" s="20"/>
      <c r="F13" s="20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</row>
    <row r="14" spans="1:51" s="1" customFormat="1" ht="13" x14ac:dyDescent="0.3">
      <c r="A14" s="28" t="s">
        <v>38</v>
      </c>
      <c r="B14" s="23" t="s">
        <v>38</v>
      </c>
      <c r="C14" s="20">
        <v>1</v>
      </c>
      <c r="D14" s="20"/>
      <c r="E14" s="20"/>
      <c r="F14" s="20"/>
      <c r="G14" s="3"/>
      <c r="H14" s="3"/>
      <c r="I14" s="3"/>
      <c r="J14" s="3"/>
      <c r="K14" s="3">
        <v>3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</row>
    <row r="15" spans="1:51" s="1" customFormat="1" ht="13" x14ac:dyDescent="0.3">
      <c r="A15" s="28" t="s">
        <v>222</v>
      </c>
      <c r="B15" s="23" t="s">
        <v>222</v>
      </c>
      <c r="C15" s="20"/>
      <c r="D15" s="20"/>
      <c r="E15" s="20"/>
      <c r="F15" s="20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51" s="1" customFormat="1" ht="13" x14ac:dyDescent="0.3">
      <c r="A16" s="28" t="s">
        <v>223</v>
      </c>
      <c r="B16" s="23" t="s">
        <v>223</v>
      </c>
      <c r="C16" s="20"/>
      <c r="D16" s="20"/>
      <c r="E16" s="20"/>
      <c r="F16" s="20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 spans="1:49" s="1" customFormat="1" ht="13" x14ac:dyDescent="0.3">
      <c r="A17" s="28" t="s">
        <v>224</v>
      </c>
      <c r="B17" s="23" t="s">
        <v>224</v>
      </c>
      <c r="C17" s="20">
        <v>3</v>
      </c>
      <c r="D17" s="20">
        <v>3</v>
      </c>
      <c r="E17" s="20"/>
      <c r="F17" s="20">
        <v>3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</row>
    <row r="18" spans="1:49" s="1" customFormat="1" ht="13" x14ac:dyDescent="0.3">
      <c r="A18" s="28" t="s">
        <v>225</v>
      </c>
      <c r="B18" s="23" t="s">
        <v>225</v>
      </c>
      <c r="C18" s="20"/>
      <c r="D18" s="20"/>
      <c r="E18" s="20"/>
      <c r="F18" s="20"/>
      <c r="G18" s="3"/>
      <c r="H18" s="3"/>
      <c r="I18" s="3"/>
      <c r="J18" s="3"/>
      <c r="K18" s="3">
        <v>1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 spans="1:49" s="1" customFormat="1" ht="13" x14ac:dyDescent="0.3">
      <c r="A19" s="28" t="s">
        <v>226</v>
      </c>
      <c r="B19" s="23" t="s">
        <v>226</v>
      </c>
      <c r="C19" s="20"/>
      <c r="D19" s="20"/>
      <c r="E19" s="20"/>
      <c r="F19" s="20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</row>
    <row r="20" spans="1:49" s="1" customFormat="1" ht="13" x14ac:dyDescent="0.3">
      <c r="A20" s="28" t="s">
        <v>44</v>
      </c>
      <c r="B20" s="23" t="s">
        <v>44</v>
      </c>
      <c r="C20" s="20"/>
      <c r="D20" s="20"/>
      <c r="E20" s="20"/>
      <c r="F20" s="20"/>
      <c r="G20" s="3"/>
      <c r="H20" s="3"/>
      <c r="I20" s="3">
        <v>1</v>
      </c>
      <c r="J20" s="3"/>
      <c r="K20" s="3">
        <v>3</v>
      </c>
      <c r="L20" s="3"/>
      <c r="M20" s="3">
        <v>1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</row>
    <row r="21" spans="1:49" s="1" customFormat="1" ht="13" x14ac:dyDescent="0.3">
      <c r="A21" s="28" t="s">
        <v>227</v>
      </c>
      <c r="B21" s="23" t="s">
        <v>227</v>
      </c>
      <c r="C21" s="20"/>
      <c r="D21" s="20"/>
      <c r="E21" s="20"/>
      <c r="F21" s="20"/>
      <c r="G21" s="3"/>
      <c r="H21" s="3"/>
      <c r="I21" s="3"/>
      <c r="J21" s="3"/>
      <c r="K21" s="3">
        <v>1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</row>
    <row r="22" spans="1:49" s="1" customFormat="1" ht="13" x14ac:dyDescent="0.3">
      <c r="A22" s="28" t="s">
        <v>230</v>
      </c>
      <c r="B22" s="23" t="s">
        <v>230</v>
      </c>
      <c r="C22" s="20"/>
      <c r="D22" s="20"/>
      <c r="E22" s="20"/>
      <c r="F22" s="20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</row>
    <row r="23" spans="1:49" s="1" customFormat="1" ht="13" x14ac:dyDescent="0.3">
      <c r="A23" s="28" t="s">
        <v>48</v>
      </c>
      <c r="B23" s="23" t="s">
        <v>48</v>
      </c>
      <c r="C23" s="20"/>
      <c r="D23" s="20"/>
      <c r="E23" s="20"/>
      <c r="F23" s="20"/>
      <c r="G23" s="3"/>
      <c r="H23" s="3"/>
      <c r="I23" s="3"/>
      <c r="J23" s="3"/>
      <c r="K23" s="3">
        <v>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</row>
    <row r="24" spans="1:49" s="1" customFormat="1" ht="13" x14ac:dyDescent="0.3">
      <c r="A24" s="28" t="s">
        <v>231</v>
      </c>
      <c r="B24" s="23" t="s">
        <v>231</v>
      </c>
      <c r="C24" s="20"/>
      <c r="D24" s="20"/>
      <c r="E24" s="20"/>
      <c r="F24" s="20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</row>
    <row r="25" spans="1:49" s="1" customFormat="1" ht="13" x14ac:dyDescent="0.3">
      <c r="A25" s="28" t="s">
        <v>49</v>
      </c>
      <c r="B25" s="23" t="s">
        <v>49</v>
      </c>
      <c r="C25" s="20"/>
      <c r="D25" s="20"/>
      <c r="E25" s="20"/>
      <c r="F25" s="20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</row>
    <row r="26" spans="1:49" s="1" customFormat="1" ht="13" x14ac:dyDescent="0.3">
      <c r="A26" s="28" t="s">
        <v>50</v>
      </c>
      <c r="B26" s="23" t="s">
        <v>50</v>
      </c>
      <c r="C26" s="20">
        <v>2</v>
      </c>
      <c r="D26" s="20"/>
      <c r="E26" s="20"/>
      <c r="F26" s="20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</row>
    <row r="27" spans="1:49" s="1" customFormat="1" ht="13" x14ac:dyDescent="0.3">
      <c r="A27" s="28" t="s">
        <v>232</v>
      </c>
      <c r="B27" s="23" t="s">
        <v>232</v>
      </c>
      <c r="C27" s="20"/>
      <c r="D27" s="20"/>
      <c r="E27" s="20"/>
      <c r="F27" s="20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</row>
    <row r="28" spans="1:49" s="1" customFormat="1" ht="13" x14ac:dyDescent="0.3">
      <c r="A28" s="28" t="s">
        <v>233</v>
      </c>
      <c r="B28" s="23" t="s">
        <v>233</v>
      </c>
      <c r="C28" s="20"/>
      <c r="D28" s="20"/>
      <c r="E28" s="20"/>
      <c r="F28" s="20"/>
      <c r="G28" s="3"/>
      <c r="H28" s="3"/>
      <c r="I28" s="3">
        <v>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</row>
    <row r="29" spans="1:49" s="1" customFormat="1" ht="13" x14ac:dyDescent="0.3">
      <c r="A29" s="28" t="s">
        <v>234</v>
      </c>
      <c r="B29" s="23" t="s">
        <v>234</v>
      </c>
      <c r="C29" s="20"/>
      <c r="D29" s="20"/>
      <c r="E29" s="20"/>
      <c r="F29" s="20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</row>
    <row r="30" spans="1:49" s="1" customFormat="1" ht="13" x14ac:dyDescent="0.3">
      <c r="A30" s="28" t="s">
        <v>51</v>
      </c>
      <c r="B30" s="23" t="s">
        <v>51</v>
      </c>
      <c r="C30" s="20">
        <v>3</v>
      </c>
      <c r="D30" s="20"/>
      <c r="E30" s="20"/>
      <c r="F30" s="20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</row>
    <row r="31" spans="1:49" s="1" customFormat="1" ht="13" x14ac:dyDescent="0.3">
      <c r="A31" s="28" t="s">
        <v>52</v>
      </c>
      <c r="B31" s="23" t="s">
        <v>52</v>
      </c>
      <c r="C31" s="20"/>
      <c r="D31" s="20"/>
      <c r="E31" s="20"/>
      <c r="F31" s="20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</row>
    <row r="32" spans="1:49" s="1" customFormat="1" ht="13" x14ac:dyDescent="0.3">
      <c r="A32" s="28" t="s">
        <v>235</v>
      </c>
      <c r="B32" s="23" t="s">
        <v>235</v>
      </c>
      <c r="C32" s="20"/>
      <c r="D32" s="20"/>
      <c r="E32" s="20"/>
      <c r="F32" s="20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</row>
    <row r="33" spans="1:49" s="1" customFormat="1" ht="13" x14ac:dyDescent="0.3">
      <c r="A33" s="28" t="s">
        <v>53</v>
      </c>
      <c r="B33" s="23" t="s">
        <v>53</v>
      </c>
      <c r="C33" s="20"/>
      <c r="D33" s="20"/>
      <c r="E33" s="20"/>
      <c r="F33" s="20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</row>
    <row r="34" spans="1:49" s="1" customFormat="1" ht="13" x14ac:dyDescent="0.3">
      <c r="A34" s="28" t="s">
        <v>236</v>
      </c>
      <c r="B34" s="23" t="s">
        <v>236</v>
      </c>
      <c r="C34" s="20"/>
      <c r="D34" s="20"/>
      <c r="E34" s="20"/>
      <c r="F34" s="20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</row>
    <row r="35" spans="1:49" s="1" customFormat="1" ht="13" x14ac:dyDescent="0.3">
      <c r="A35" s="28" t="s">
        <v>54</v>
      </c>
      <c r="B35" s="23" t="s">
        <v>54</v>
      </c>
      <c r="C35" s="20"/>
      <c r="D35" s="20"/>
      <c r="E35" s="20"/>
      <c r="F35" s="20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</row>
    <row r="36" spans="1:49" s="1" customFormat="1" ht="13" x14ac:dyDescent="0.3">
      <c r="A36" s="28" t="s">
        <v>237</v>
      </c>
      <c r="B36" s="23" t="s">
        <v>237</v>
      </c>
      <c r="C36" s="20"/>
      <c r="D36" s="20"/>
      <c r="E36" s="20"/>
      <c r="F36" s="20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</row>
    <row r="37" spans="1:49" s="1" customFormat="1" ht="13" x14ac:dyDescent="0.3">
      <c r="A37" s="28" t="s">
        <v>238</v>
      </c>
      <c r="B37" s="23" t="s">
        <v>238</v>
      </c>
      <c r="C37" s="20"/>
      <c r="D37" s="20"/>
      <c r="E37" s="20"/>
      <c r="F37" s="20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</row>
    <row r="38" spans="1:49" s="1" customFormat="1" ht="13" x14ac:dyDescent="0.3">
      <c r="A38" s="28" t="s">
        <v>57</v>
      </c>
      <c r="B38" s="23" t="s">
        <v>57</v>
      </c>
      <c r="C38" s="20"/>
      <c r="D38" s="20"/>
      <c r="E38" s="20"/>
      <c r="F38" s="20"/>
      <c r="G38" s="3"/>
      <c r="H38" s="3"/>
      <c r="I38" s="3"/>
      <c r="J38" s="3"/>
      <c r="K38" s="3">
        <v>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</row>
    <row r="39" spans="1:49" s="1" customFormat="1" ht="13" x14ac:dyDescent="0.3">
      <c r="A39" s="28" t="s">
        <v>58</v>
      </c>
      <c r="B39" s="23" t="s">
        <v>58</v>
      </c>
      <c r="C39" s="20"/>
      <c r="D39" s="20"/>
      <c r="E39" s="20"/>
      <c r="F39" s="20"/>
      <c r="G39" s="3"/>
      <c r="H39" s="3"/>
      <c r="I39" s="3"/>
      <c r="J39" s="3"/>
      <c r="K39" s="3">
        <v>1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</row>
    <row r="40" spans="1:49" s="1" customFormat="1" ht="13" x14ac:dyDescent="0.3">
      <c r="A40" s="28" t="s">
        <v>239</v>
      </c>
      <c r="B40" s="23" t="s">
        <v>239</v>
      </c>
      <c r="C40" s="20">
        <v>1</v>
      </c>
      <c r="D40" s="20"/>
      <c r="E40" s="20"/>
      <c r="F40" s="20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</row>
    <row r="41" spans="1:49" s="1" customFormat="1" ht="13" x14ac:dyDescent="0.3">
      <c r="A41" s="28" t="s">
        <v>240</v>
      </c>
      <c r="B41" s="23" t="s">
        <v>240</v>
      </c>
      <c r="C41" s="20"/>
      <c r="D41" s="20"/>
      <c r="E41" s="20"/>
      <c r="F41" s="20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</row>
    <row r="42" spans="1:49" s="1" customFormat="1" ht="13" x14ac:dyDescent="0.3">
      <c r="A42" s="28" t="s">
        <v>59</v>
      </c>
      <c r="B42" s="23" t="s">
        <v>59</v>
      </c>
      <c r="C42" s="20">
        <v>2</v>
      </c>
      <c r="D42" s="20"/>
      <c r="E42" s="20"/>
      <c r="F42" s="20"/>
      <c r="G42" s="3">
        <v>2</v>
      </c>
      <c r="H42" s="3"/>
      <c r="I42" s="3">
        <v>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</row>
    <row r="43" spans="1:49" s="1" customFormat="1" ht="13" x14ac:dyDescent="0.3">
      <c r="A43" s="28" t="s">
        <v>241</v>
      </c>
      <c r="B43" s="23" t="s">
        <v>241</v>
      </c>
      <c r="C43" s="20"/>
      <c r="D43" s="20"/>
      <c r="E43" s="20"/>
      <c r="F43" s="20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</row>
    <row r="44" spans="1:49" s="1" customFormat="1" ht="13" x14ac:dyDescent="0.3">
      <c r="A44" s="28" t="s">
        <v>242</v>
      </c>
      <c r="B44" s="23" t="s">
        <v>242</v>
      </c>
      <c r="C44" s="20"/>
      <c r="D44" s="20"/>
      <c r="E44" s="20"/>
      <c r="F44" s="20"/>
      <c r="G44" s="3"/>
      <c r="H44" s="3"/>
      <c r="I44" s="3"/>
      <c r="J44" s="3"/>
      <c r="K44" s="3">
        <v>1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</row>
    <row r="45" spans="1:49" s="1" customFormat="1" ht="13" x14ac:dyDescent="0.3">
      <c r="A45" s="28" t="s">
        <v>60</v>
      </c>
      <c r="B45" s="23" t="s">
        <v>60</v>
      </c>
      <c r="C45" s="20">
        <v>2</v>
      </c>
      <c r="D45" s="20"/>
      <c r="E45" s="20"/>
      <c r="F45" s="20"/>
      <c r="G45" s="3"/>
      <c r="H45" s="3"/>
      <c r="I45" s="3"/>
      <c r="J45" s="3"/>
      <c r="K45" s="3"/>
      <c r="L45" s="3"/>
      <c r="M45" s="3">
        <v>1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</row>
    <row r="46" spans="1:49" s="1" customFormat="1" ht="13" x14ac:dyDescent="0.3">
      <c r="A46" s="28" t="s">
        <v>243</v>
      </c>
      <c r="B46" s="23" t="s">
        <v>243</v>
      </c>
      <c r="C46" s="20"/>
      <c r="D46" s="20"/>
      <c r="E46" s="20"/>
      <c r="F46" s="20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</row>
    <row r="47" spans="1:49" s="1" customFormat="1" ht="13" x14ac:dyDescent="0.3">
      <c r="A47" s="28" t="s">
        <v>244</v>
      </c>
      <c r="B47" s="23" t="s">
        <v>244</v>
      </c>
      <c r="C47" s="20"/>
      <c r="D47" s="20"/>
      <c r="E47" s="20"/>
      <c r="F47" s="20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</row>
    <row r="48" spans="1:49" s="1" customFormat="1" ht="13" x14ac:dyDescent="0.3">
      <c r="A48" s="28" t="s">
        <v>61</v>
      </c>
      <c r="B48" s="23" t="s">
        <v>61</v>
      </c>
      <c r="C48" s="20">
        <v>2</v>
      </c>
      <c r="D48" s="20"/>
      <c r="E48" s="20"/>
      <c r="F48" s="20"/>
      <c r="G48" s="3"/>
      <c r="H48" s="3">
        <v>4</v>
      </c>
      <c r="I48" s="3"/>
      <c r="J48" s="3">
        <v>1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</row>
    <row r="49" spans="1:49" s="1" customFormat="1" ht="13" x14ac:dyDescent="0.3">
      <c r="A49" s="28" t="s">
        <v>246</v>
      </c>
      <c r="B49" s="23" t="s">
        <v>246</v>
      </c>
      <c r="C49" s="20">
        <v>1</v>
      </c>
      <c r="D49" s="20"/>
      <c r="E49" s="20"/>
      <c r="F49" s="20"/>
      <c r="G49" s="3"/>
      <c r="H49" s="3"/>
      <c r="I49" s="3"/>
      <c r="J49" s="3"/>
      <c r="K49" s="3">
        <v>1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</row>
    <row r="50" spans="1:49" s="1" customFormat="1" ht="13" x14ac:dyDescent="0.3">
      <c r="A50" s="28" t="s">
        <v>247</v>
      </c>
      <c r="B50" s="23" t="s">
        <v>247</v>
      </c>
      <c r="C50" s="20"/>
      <c r="D50" s="20"/>
      <c r="E50" s="20"/>
      <c r="F50" s="20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</row>
    <row r="51" spans="1:49" s="1" customFormat="1" ht="13" x14ac:dyDescent="0.3">
      <c r="A51" s="28" t="s">
        <v>62</v>
      </c>
      <c r="B51" s="23" t="s">
        <v>62</v>
      </c>
      <c r="C51" s="20">
        <v>2</v>
      </c>
      <c r="D51" s="20"/>
      <c r="E51" s="20"/>
      <c r="F51" s="20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  <row r="52" spans="1:49" s="1" customFormat="1" ht="13" x14ac:dyDescent="0.3">
      <c r="A52" s="28" t="s">
        <v>248</v>
      </c>
      <c r="B52" s="23" t="s">
        <v>248</v>
      </c>
      <c r="C52" s="20">
        <v>3</v>
      </c>
      <c r="D52" s="20"/>
      <c r="E52" s="20"/>
      <c r="F52" s="20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</row>
    <row r="53" spans="1:49" s="1" customFormat="1" ht="13" x14ac:dyDescent="0.3">
      <c r="A53" s="28" t="s">
        <v>63</v>
      </c>
      <c r="B53" s="23" t="s">
        <v>63</v>
      </c>
      <c r="C53" s="20"/>
      <c r="D53" s="20"/>
      <c r="E53" s="20"/>
      <c r="F53" s="20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</row>
    <row r="54" spans="1:49" s="1" customFormat="1" ht="13" x14ac:dyDescent="0.3">
      <c r="A54" s="28" t="s">
        <v>64</v>
      </c>
      <c r="B54" s="23" t="s">
        <v>64</v>
      </c>
      <c r="C54" s="20">
        <v>3</v>
      </c>
      <c r="D54" s="20"/>
      <c r="E54" s="20"/>
      <c r="F54" s="20"/>
      <c r="G54" s="3"/>
      <c r="H54" s="3"/>
      <c r="I54" s="3">
        <v>1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</row>
    <row r="55" spans="1:49" s="1" customFormat="1" ht="13" x14ac:dyDescent="0.3">
      <c r="A55" s="28" t="s">
        <v>249</v>
      </c>
      <c r="B55" s="23" t="s">
        <v>249</v>
      </c>
      <c r="C55" s="20"/>
      <c r="D55" s="20"/>
      <c r="E55" s="20"/>
      <c r="F55" s="20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</row>
    <row r="56" spans="1:49" s="1" customFormat="1" ht="13" x14ac:dyDescent="0.3">
      <c r="A56" s="28" t="s">
        <v>65</v>
      </c>
      <c r="B56" s="23" t="s">
        <v>65</v>
      </c>
      <c r="C56" s="20"/>
      <c r="D56" s="20"/>
      <c r="E56" s="20"/>
      <c r="F56" s="20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</row>
    <row r="57" spans="1:49" s="1" customFormat="1" ht="13" x14ac:dyDescent="0.3">
      <c r="A57" s="28" t="s">
        <v>66</v>
      </c>
      <c r="B57" s="23" t="s">
        <v>66</v>
      </c>
      <c r="C57" s="20"/>
      <c r="D57" s="20"/>
      <c r="E57" s="20"/>
      <c r="F57" s="20"/>
      <c r="G57" s="3"/>
      <c r="H57" s="3">
        <v>1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</row>
    <row r="58" spans="1:49" s="1" customFormat="1" ht="13" x14ac:dyDescent="0.3">
      <c r="A58" s="28" t="s">
        <v>250</v>
      </c>
      <c r="B58" s="23" t="s">
        <v>250</v>
      </c>
      <c r="C58" s="20"/>
      <c r="D58" s="20"/>
      <c r="E58" s="20"/>
      <c r="F58" s="20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</row>
    <row r="59" spans="1:49" s="1" customFormat="1" ht="13" x14ac:dyDescent="0.3">
      <c r="A59" s="28" t="s">
        <v>252</v>
      </c>
      <c r="B59" s="23" t="s">
        <v>252</v>
      </c>
      <c r="C59" s="20">
        <v>3</v>
      </c>
      <c r="D59" s="20">
        <v>3</v>
      </c>
      <c r="E59" s="20">
        <v>3</v>
      </c>
      <c r="F59" s="20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</row>
    <row r="60" spans="1:49" s="1" customFormat="1" ht="13" x14ac:dyDescent="0.3">
      <c r="A60" s="28" t="s">
        <v>67</v>
      </c>
      <c r="B60" s="23" t="s">
        <v>67</v>
      </c>
      <c r="C60" s="20"/>
      <c r="D60" s="20"/>
      <c r="E60" s="20"/>
      <c r="F60" s="20"/>
      <c r="G60" s="3">
        <v>3</v>
      </c>
      <c r="H60" s="3"/>
      <c r="I60" s="3">
        <v>3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</row>
    <row r="61" spans="1:49" s="1" customFormat="1" ht="13" x14ac:dyDescent="0.3">
      <c r="A61" s="28" t="s">
        <v>253</v>
      </c>
      <c r="B61" s="23" t="s">
        <v>253</v>
      </c>
      <c r="C61" s="20"/>
      <c r="D61" s="20"/>
      <c r="E61" s="20"/>
      <c r="F61" s="20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</row>
    <row r="62" spans="1:49" s="1" customFormat="1" ht="13" x14ac:dyDescent="0.3">
      <c r="A62" s="28" t="s">
        <v>254</v>
      </c>
      <c r="B62" s="23" t="s">
        <v>254</v>
      </c>
      <c r="C62" s="20"/>
      <c r="D62" s="20"/>
      <c r="E62" s="20"/>
      <c r="F62" s="20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</row>
    <row r="63" spans="1:49" s="1" customFormat="1" ht="13" x14ac:dyDescent="0.3">
      <c r="A63" s="28" t="s">
        <v>255</v>
      </c>
      <c r="B63" s="23" t="s">
        <v>255</v>
      </c>
      <c r="C63" s="20"/>
      <c r="D63" s="20"/>
      <c r="E63" s="20"/>
      <c r="F63" s="20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</row>
    <row r="64" spans="1:49" s="1" customFormat="1" ht="13" x14ac:dyDescent="0.3">
      <c r="A64" s="28" t="s">
        <v>68</v>
      </c>
      <c r="B64" s="23" t="s">
        <v>68</v>
      </c>
      <c r="C64" s="20"/>
      <c r="D64" s="20"/>
      <c r="E64" s="20"/>
      <c r="F64" s="20"/>
      <c r="G64" s="3">
        <v>3</v>
      </c>
      <c r="H64" s="3"/>
      <c r="I64" s="3">
        <v>3</v>
      </c>
      <c r="J64" s="3"/>
      <c r="K64" s="3">
        <v>1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</row>
    <row r="65" spans="1:49" s="1" customFormat="1" ht="13" x14ac:dyDescent="0.3">
      <c r="A65" s="28" t="s">
        <v>69</v>
      </c>
      <c r="B65" s="23" t="s">
        <v>69</v>
      </c>
      <c r="C65" s="20"/>
      <c r="D65" s="20"/>
      <c r="E65" s="20"/>
      <c r="F65" s="20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</row>
    <row r="66" spans="1:49" s="1" customFormat="1" ht="13" x14ac:dyDescent="0.3">
      <c r="A66" s="28" t="s">
        <v>256</v>
      </c>
      <c r="B66" s="23" t="s">
        <v>256</v>
      </c>
      <c r="C66" s="20"/>
      <c r="D66" s="20"/>
      <c r="E66" s="20"/>
      <c r="F66" s="20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</row>
    <row r="67" spans="1:49" s="1" customFormat="1" ht="13" x14ac:dyDescent="0.3">
      <c r="A67" s="28" t="s">
        <v>70</v>
      </c>
      <c r="B67" s="23" t="s">
        <v>70</v>
      </c>
      <c r="C67" s="20">
        <v>3</v>
      </c>
      <c r="D67" s="20"/>
      <c r="E67" s="20"/>
      <c r="F67" s="20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</row>
    <row r="68" spans="1:49" s="1" customFormat="1" ht="13" x14ac:dyDescent="0.3">
      <c r="A68" s="28" t="s">
        <v>257</v>
      </c>
      <c r="B68" s="23" t="s">
        <v>257</v>
      </c>
      <c r="C68" s="20"/>
      <c r="D68" s="20"/>
      <c r="E68" s="20"/>
      <c r="F68" s="20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</row>
    <row r="69" spans="1:49" s="1" customFormat="1" ht="13" x14ac:dyDescent="0.3">
      <c r="A69" s="28" t="s">
        <v>71</v>
      </c>
      <c r="B69" s="23" t="s">
        <v>71</v>
      </c>
      <c r="C69" s="20"/>
      <c r="D69" s="20"/>
      <c r="E69" s="20"/>
      <c r="F69" s="20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</row>
    <row r="70" spans="1:49" s="1" customFormat="1" ht="13" x14ac:dyDescent="0.3">
      <c r="A70" s="28" t="s">
        <v>72</v>
      </c>
      <c r="B70" s="23" t="s">
        <v>72</v>
      </c>
      <c r="C70" s="20"/>
      <c r="D70" s="20"/>
      <c r="E70" s="20"/>
      <c r="F70" s="20"/>
      <c r="G70" s="3"/>
      <c r="H70" s="3"/>
      <c r="I70" s="3">
        <v>1</v>
      </c>
      <c r="J70" s="3"/>
      <c r="K70" s="3">
        <v>3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</row>
    <row r="71" spans="1:49" s="1" customFormat="1" ht="13" x14ac:dyDescent="0.3">
      <c r="A71" s="28" t="s">
        <v>258</v>
      </c>
      <c r="B71" s="23" t="s">
        <v>258</v>
      </c>
      <c r="C71" s="20"/>
      <c r="D71" s="20"/>
      <c r="E71" s="20"/>
      <c r="F71" s="20"/>
      <c r="G71" s="3"/>
      <c r="H71" s="3"/>
      <c r="I71" s="3">
        <v>1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</row>
    <row r="72" spans="1:49" s="1" customFormat="1" ht="13" x14ac:dyDescent="0.3">
      <c r="A72" s="28" t="s">
        <v>73</v>
      </c>
      <c r="B72" s="23" t="s">
        <v>73</v>
      </c>
      <c r="C72" s="20">
        <v>2</v>
      </c>
      <c r="D72" s="20"/>
      <c r="E72" s="20"/>
      <c r="F72" s="20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</row>
    <row r="73" spans="1:49" s="1" customFormat="1" ht="13" x14ac:dyDescent="0.3">
      <c r="A73" s="28" t="s">
        <v>259</v>
      </c>
      <c r="B73" s="23" t="s">
        <v>259</v>
      </c>
      <c r="C73" s="20">
        <v>3</v>
      </c>
      <c r="D73" s="20">
        <v>3</v>
      </c>
      <c r="E73" s="20"/>
      <c r="F73" s="20">
        <v>3</v>
      </c>
      <c r="G73" s="3"/>
      <c r="H73" s="3"/>
      <c r="I73" s="3">
        <v>1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</row>
    <row r="74" spans="1:49" s="1" customFormat="1" ht="13" x14ac:dyDescent="0.3">
      <c r="A74" s="28" t="s">
        <v>74</v>
      </c>
      <c r="B74" s="23" t="s">
        <v>74</v>
      </c>
      <c r="C74" s="20"/>
      <c r="D74" s="20"/>
      <c r="E74" s="20"/>
      <c r="F74" s="20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</row>
    <row r="75" spans="1:49" s="1" customFormat="1" ht="13" x14ac:dyDescent="0.3">
      <c r="A75" s="28" t="s">
        <v>260</v>
      </c>
      <c r="B75" s="23" t="s">
        <v>260</v>
      </c>
      <c r="C75" s="20"/>
      <c r="D75" s="20"/>
      <c r="E75" s="20"/>
      <c r="F75" s="20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</row>
    <row r="76" spans="1:49" s="1" customFormat="1" ht="13" x14ac:dyDescent="0.3">
      <c r="A76" s="28" t="s">
        <v>75</v>
      </c>
      <c r="B76" s="23" t="s">
        <v>75</v>
      </c>
      <c r="C76" s="20"/>
      <c r="D76" s="20"/>
      <c r="E76" s="20"/>
      <c r="F76" s="20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</row>
    <row r="77" spans="1:49" s="1" customFormat="1" ht="13" x14ac:dyDescent="0.3">
      <c r="A77" s="28" t="s">
        <v>261</v>
      </c>
      <c r="B77" s="23" t="s">
        <v>261</v>
      </c>
      <c r="C77" s="20"/>
      <c r="D77" s="20"/>
      <c r="E77" s="20"/>
      <c r="F77" s="20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</row>
    <row r="78" spans="1:49" s="1" customFormat="1" ht="13" x14ac:dyDescent="0.3">
      <c r="A78" s="28" t="s">
        <v>262</v>
      </c>
      <c r="B78" s="23" t="s">
        <v>262</v>
      </c>
      <c r="C78" s="20"/>
      <c r="D78" s="20"/>
      <c r="E78" s="20"/>
      <c r="F78" s="20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</row>
    <row r="79" spans="1:49" s="1" customFormat="1" ht="13" x14ac:dyDescent="0.3">
      <c r="A79" s="28" t="s">
        <v>263</v>
      </c>
      <c r="B79" s="23" t="s">
        <v>263</v>
      </c>
      <c r="C79" s="20"/>
      <c r="D79" s="20"/>
      <c r="E79" s="20"/>
      <c r="F79" s="20"/>
      <c r="G79" s="3"/>
      <c r="H79" s="3"/>
      <c r="I79" s="3"/>
      <c r="J79" s="3"/>
      <c r="K79" s="3">
        <v>1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</row>
    <row r="80" spans="1:49" s="1" customFormat="1" ht="13" x14ac:dyDescent="0.3">
      <c r="A80" s="28" t="s">
        <v>264</v>
      </c>
      <c r="B80" s="23" t="s">
        <v>264</v>
      </c>
      <c r="C80" s="20"/>
      <c r="D80" s="20"/>
      <c r="E80" s="20"/>
      <c r="F80" s="20"/>
      <c r="G80" s="3"/>
      <c r="H80" s="3"/>
      <c r="I80" s="3"/>
      <c r="J80" s="3"/>
      <c r="K80" s="3">
        <v>1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</row>
    <row r="81" spans="1:205" s="1" customFormat="1" ht="13" x14ac:dyDescent="0.3">
      <c r="A81" s="28" t="s">
        <v>265</v>
      </c>
      <c r="B81" s="23" t="s">
        <v>265</v>
      </c>
      <c r="C81" s="20"/>
      <c r="D81" s="20"/>
      <c r="E81" s="20"/>
      <c r="F81" s="20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</row>
    <row r="82" spans="1:205" s="1" customFormat="1" ht="13" x14ac:dyDescent="0.3">
      <c r="A82" s="28" t="s">
        <v>76</v>
      </c>
      <c r="B82" s="23" t="s">
        <v>76</v>
      </c>
      <c r="C82" s="20"/>
      <c r="D82" s="20"/>
      <c r="E82" s="20"/>
      <c r="F82" s="20"/>
      <c r="G82" s="3"/>
      <c r="H82" s="3"/>
      <c r="I82" s="3"/>
      <c r="J82" s="3"/>
      <c r="K82" s="3">
        <v>1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</row>
    <row r="83" spans="1:205" s="1" customFormat="1" ht="13" x14ac:dyDescent="0.3">
      <c r="A83" s="28" t="s">
        <v>77</v>
      </c>
      <c r="B83" s="23" t="s">
        <v>77</v>
      </c>
      <c r="C83" s="20"/>
      <c r="D83" s="20"/>
      <c r="E83" s="20"/>
      <c r="F83" s="20"/>
      <c r="G83" s="3">
        <v>2</v>
      </c>
      <c r="H83" s="3"/>
      <c r="I83" s="3">
        <v>2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</row>
    <row r="84" spans="1:205" s="1" customFormat="1" ht="13" x14ac:dyDescent="0.3">
      <c r="A84" s="28" t="s">
        <v>78</v>
      </c>
      <c r="B84" s="23" t="s">
        <v>78</v>
      </c>
      <c r="C84" s="20">
        <v>3</v>
      </c>
      <c r="D84" s="20"/>
      <c r="E84" s="20"/>
      <c r="F84" s="20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</row>
    <row r="85" spans="1:205" s="1" customFormat="1" ht="13" x14ac:dyDescent="0.3">
      <c r="A85" s="28" t="s">
        <v>266</v>
      </c>
      <c r="B85" s="23" t="s">
        <v>266</v>
      </c>
      <c r="C85" s="20">
        <v>1</v>
      </c>
      <c r="D85" s="20"/>
      <c r="E85" s="20"/>
      <c r="F85" s="20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</row>
    <row r="86" spans="1:205" s="1" customFormat="1" ht="13" x14ac:dyDescent="0.3">
      <c r="A86" s="28" t="s">
        <v>267</v>
      </c>
      <c r="B86" s="23" t="s">
        <v>267</v>
      </c>
      <c r="C86" s="20"/>
      <c r="D86" s="20"/>
      <c r="E86" s="20"/>
      <c r="F86" s="20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</row>
    <row r="87" spans="1:205" s="1" customFormat="1" ht="13" x14ac:dyDescent="0.3">
      <c r="A87" s="28" t="s">
        <v>79</v>
      </c>
      <c r="B87" s="23" t="s">
        <v>79</v>
      </c>
      <c r="C87" s="20">
        <v>2</v>
      </c>
      <c r="D87" s="20"/>
      <c r="E87" s="20"/>
      <c r="F87" s="20"/>
      <c r="G87" s="3"/>
      <c r="H87" s="3"/>
      <c r="I87" s="3"/>
      <c r="J87" s="3"/>
      <c r="K87" s="3">
        <v>3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</row>
    <row r="88" spans="1:205" s="1" customFormat="1" ht="13" x14ac:dyDescent="0.3">
      <c r="A88" s="28" t="s">
        <v>80</v>
      </c>
      <c r="B88" s="23" t="s">
        <v>80</v>
      </c>
      <c r="C88" s="20"/>
      <c r="D88" s="20"/>
      <c r="E88" s="20"/>
      <c r="F88" s="20"/>
      <c r="G88" s="3"/>
      <c r="H88" s="3"/>
      <c r="I88" s="3"/>
      <c r="J88" s="3"/>
      <c r="K88" s="3">
        <v>2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</row>
    <row r="89" spans="1:205" s="1" customFormat="1" ht="13" x14ac:dyDescent="0.3">
      <c r="A89" s="28" t="s">
        <v>81</v>
      </c>
      <c r="B89" s="23" t="s">
        <v>81</v>
      </c>
      <c r="C89" s="20"/>
      <c r="D89" s="20"/>
      <c r="E89" s="20"/>
      <c r="F89" s="20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</row>
    <row r="90" spans="1:205" s="1" customFormat="1" ht="13" x14ac:dyDescent="0.3">
      <c r="A90" s="28" t="s">
        <v>268</v>
      </c>
      <c r="B90" s="23" t="s">
        <v>268</v>
      </c>
      <c r="C90" s="20"/>
      <c r="D90" s="20"/>
      <c r="E90" s="20"/>
      <c r="F90" s="20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</row>
    <row r="91" spans="1:205" s="1" customFormat="1" ht="13" x14ac:dyDescent="0.3">
      <c r="A91" s="28" t="s">
        <v>82</v>
      </c>
      <c r="B91" s="23" t="s">
        <v>82</v>
      </c>
      <c r="C91" s="20"/>
      <c r="D91" s="20"/>
      <c r="E91" s="20"/>
      <c r="F91" s="20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GT91" s="4"/>
      <c r="GU91" s="4"/>
      <c r="GV91" s="4"/>
      <c r="GW91" s="4"/>
    </row>
    <row r="92" spans="1:205" s="1" customFormat="1" ht="13" x14ac:dyDescent="0.3">
      <c r="A92" s="28" t="s">
        <v>269</v>
      </c>
      <c r="B92" s="23" t="s">
        <v>269</v>
      </c>
      <c r="C92" s="20"/>
      <c r="D92" s="20"/>
      <c r="E92" s="20"/>
      <c r="F92" s="20"/>
      <c r="G92" s="3"/>
      <c r="H92" s="3"/>
      <c r="I92" s="3"/>
      <c r="J92" s="3"/>
      <c r="K92" s="3"/>
      <c r="L92" s="3">
        <v>1</v>
      </c>
      <c r="M92" s="3"/>
      <c r="N92" s="3">
        <v>1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GT92" s="4"/>
      <c r="GU92" s="4"/>
      <c r="GV92" s="4"/>
      <c r="GW92" s="4"/>
    </row>
    <row r="93" spans="1:205" s="1" customFormat="1" ht="13" x14ac:dyDescent="0.3">
      <c r="A93" s="28" t="s">
        <v>270</v>
      </c>
      <c r="B93" s="23" t="s">
        <v>270</v>
      </c>
      <c r="C93" s="20">
        <v>1</v>
      </c>
      <c r="D93" s="20"/>
      <c r="E93" s="20"/>
      <c r="F93" s="20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GT93" s="4"/>
      <c r="GU93" s="4"/>
      <c r="GV93" s="4"/>
      <c r="GW93" s="4"/>
    </row>
    <row r="94" spans="1:205" s="1" customFormat="1" ht="13" x14ac:dyDescent="0.3">
      <c r="A94" s="28" t="s">
        <v>84</v>
      </c>
      <c r="B94" s="23" t="s">
        <v>84</v>
      </c>
      <c r="C94" s="20"/>
      <c r="D94" s="20"/>
      <c r="E94" s="20"/>
      <c r="F94" s="20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GT94" s="4"/>
      <c r="GU94" s="4"/>
      <c r="GV94" s="4"/>
      <c r="GW94" s="4"/>
    </row>
    <row r="95" spans="1:205" s="1" customFormat="1" ht="13" x14ac:dyDescent="0.3">
      <c r="A95" s="28" t="s">
        <v>272</v>
      </c>
      <c r="B95" s="23" t="s">
        <v>272</v>
      </c>
      <c r="C95" s="20"/>
      <c r="D95" s="20"/>
      <c r="E95" s="20"/>
      <c r="F95" s="20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GT95" s="4"/>
      <c r="GU95" s="4"/>
      <c r="GV95" s="4"/>
      <c r="GW95" s="4"/>
    </row>
    <row r="96" spans="1:205" s="1" customFormat="1" ht="13" x14ac:dyDescent="0.3">
      <c r="A96" s="28" t="s">
        <v>273</v>
      </c>
      <c r="B96" s="23" t="s">
        <v>273</v>
      </c>
      <c r="C96" s="20">
        <v>3</v>
      </c>
      <c r="D96" s="20">
        <v>3</v>
      </c>
      <c r="E96" s="20">
        <v>1</v>
      </c>
      <c r="F96" s="20">
        <v>1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GV96" s="4"/>
      <c r="GW96" s="4"/>
    </row>
    <row r="97" spans="1:205" s="1" customFormat="1" ht="13" x14ac:dyDescent="0.3">
      <c r="A97" s="28" t="s">
        <v>274</v>
      </c>
      <c r="B97" s="23" t="s">
        <v>274</v>
      </c>
      <c r="C97" s="20"/>
      <c r="D97" s="20"/>
      <c r="E97" s="20"/>
      <c r="F97" s="20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GV97" s="4"/>
      <c r="GW97" s="4"/>
    </row>
    <row r="98" spans="1:205" s="1" customFormat="1" ht="13" x14ac:dyDescent="0.3">
      <c r="A98" s="29" t="s">
        <v>275</v>
      </c>
      <c r="B98" s="22" t="s">
        <v>275</v>
      </c>
      <c r="C98" s="3">
        <v>3</v>
      </c>
      <c r="D98" s="3">
        <v>3</v>
      </c>
      <c r="E98" s="3"/>
      <c r="F98" s="3">
        <v>3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GV98" s="4"/>
      <c r="GW98" s="4"/>
    </row>
    <row r="99" spans="1:205" s="1" customFormat="1" ht="13" x14ac:dyDescent="0.3">
      <c r="A99" s="29" t="s">
        <v>85</v>
      </c>
      <c r="B99" s="22" t="s">
        <v>85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GV99" s="4"/>
      <c r="GW99" s="4"/>
    </row>
    <row r="100" spans="1:205" s="1" customFormat="1" ht="13" x14ac:dyDescent="0.3">
      <c r="A100" s="29" t="s">
        <v>276</v>
      </c>
      <c r="B100" s="22" t="s">
        <v>276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GV100" s="4"/>
      <c r="GW100" s="4"/>
    </row>
    <row r="101" spans="1:205" s="1" customFormat="1" ht="13" x14ac:dyDescent="0.3">
      <c r="A101" s="29" t="s">
        <v>87</v>
      </c>
      <c r="B101" s="22" t="s">
        <v>87</v>
      </c>
      <c r="C101" s="3">
        <v>3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GV101" s="4"/>
      <c r="GW101" s="4"/>
    </row>
    <row r="102" spans="1:205" s="1" customFormat="1" ht="13" x14ac:dyDescent="0.3">
      <c r="A102" s="29" t="s">
        <v>88</v>
      </c>
      <c r="B102" s="22" t="s">
        <v>88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GV102" s="4"/>
      <c r="GW102" s="4"/>
    </row>
    <row r="103" spans="1:205" s="1" customFormat="1" ht="13" x14ac:dyDescent="0.3">
      <c r="A103" s="29" t="s">
        <v>277</v>
      </c>
      <c r="B103" s="22" t="s">
        <v>277</v>
      </c>
      <c r="C103" s="3">
        <v>3</v>
      </c>
      <c r="D103" s="3">
        <v>3</v>
      </c>
      <c r="E103" s="3">
        <v>3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GV103" s="4"/>
      <c r="GW103" s="4"/>
    </row>
    <row r="104" spans="1:205" s="1" customFormat="1" ht="13" x14ac:dyDescent="0.3">
      <c r="A104" s="29" t="s">
        <v>278</v>
      </c>
      <c r="B104" s="22" t="s">
        <v>278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GV104" s="4"/>
      <c r="GW104" s="4"/>
    </row>
    <row r="105" spans="1:205" s="1" customFormat="1" ht="13" x14ac:dyDescent="0.3">
      <c r="A105" s="29" t="s">
        <v>279</v>
      </c>
      <c r="B105" s="22" t="s">
        <v>279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GV105" s="4"/>
      <c r="GW105" s="4"/>
    </row>
    <row r="106" spans="1:205" s="1" customFormat="1" ht="13" x14ac:dyDescent="0.3">
      <c r="A106" s="29" t="s">
        <v>89</v>
      </c>
      <c r="B106" s="22" t="s">
        <v>89</v>
      </c>
      <c r="C106" s="3"/>
      <c r="D106" s="3"/>
      <c r="E106" s="3"/>
      <c r="F106" s="3"/>
      <c r="G106" s="3">
        <v>4</v>
      </c>
      <c r="H106" s="3">
        <v>1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GV106" s="4"/>
      <c r="GW106" s="4"/>
    </row>
    <row r="107" spans="1:205" s="4" customFormat="1" ht="13" x14ac:dyDescent="0.3">
      <c r="A107" s="29" t="s">
        <v>90</v>
      </c>
      <c r="B107" s="22" t="s">
        <v>90</v>
      </c>
      <c r="C107" s="3">
        <v>1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</row>
    <row r="108" spans="1:205" s="4" customFormat="1" ht="13" x14ac:dyDescent="0.3">
      <c r="A108" s="29" t="s">
        <v>280</v>
      </c>
      <c r="B108" s="22" t="s">
        <v>280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</row>
    <row r="109" spans="1:205" s="4" customFormat="1" ht="13" x14ac:dyDescent="0.3">
      <c r="A109" s="29" t="s">
        <v>281</v>
      </c>
      <c r="B109" s="22" t="s">
        <v>281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</row>
    <row r="110" spans="1:205" s="4" customFormat="1" ht="13" x14ac:dyDescent="0.3">
      <c r="A110" s="29" t="s">
        <v>282</v>
      </c>
      <c r="B110" s="22" t="s">
        <v>282</v>
      </c>
      <c r="C110" s="3"/>
      <c r="D110" s="3"/>
      <c r="E110" s="3"/>
      <c r="F110" s="3"/>
      <c r="G110" s="3"/>
      <c r="H110" s="3"/>
      <c r="I110" s="3"/>
      <c r="J110" s="3"/>
      <c r="K110" s="3">
        <v>3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</row>
    <row r="111" spans="1:205" s="4" customFormat="1" ht="13" x14ac:dyDescent="0.3">
      <c r="A111" s="29" t="s">
        <v>283</v>
      </c>
      <c r="B111" s="22" t="s">
        <v>283</v>
      </c>
      <c r="C111" s="3"/>
      <c r="D111" s="3"/>
      <c r="E111" s="3">
        <v>1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</row>
    <row r="112" spans="1:205" s="4" customFormat="1" ht="13" x14ac:dyDescent="0.3">
      <c r="A112" s="29" t="s">
        <v>91</v>
      </c>
      <c r="B112" s="22" t="s">
        <v>91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</row>
    <row r="113" spans="1:205" s="4" customFormat="1" ht="13" x14ac:dyDescent="0.3">
      <c r="A113" s="29" t="s">
        <v>92</v>
      </c>
      <c r="B113" s="22" t="s">
        <v>92</v>
      </c>
      <c r="C113" s="3"/>
      <c r="D113" s="3"/>
      <c r="E113" s="3"/>
      <c r="F113" s="3"/>
      <c r="G113" s="3"/>
      <c r="H113" s="3"/>
      <c r="I113" s="3"/>
      <c r="J113" s="3"/>
      <c r="K113" s="3">
        <v>3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</row>
    <row r="114" spans="1:205" s="4" customFormat="1" ht="13" x14ac:dyDescent="0.3">
      <c r="A114" s="29" t="s">
        <v>94</v>
      </c>
      <c r="B114" s="22" t="s">
        <v>94</v>
      </c>
      <c r="C114" s="3">
        <v>3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</row>
    <row r="115" spans="1:205" s="4" customFormat="1" ht="13" x14ac:dyDescent="0.3">
      <c r="A115" s="29" t="s">
        <v>95</v>
      </c>
      <c r="B115" s="22" t="s">
        <v>95</v>
      </c>
      <c r="C115" s="3">
        <v>2</v>
      </c>
      <c r="D115" s="3"/>
      <c r="E115" s="3"/>
      <c r="F115" s="3"/>
      <c r="G115" s="3">
        <v>2</v>
      </c>
      <c r="H115" s="3"/>
      <c r="I115" s="3">
        <v>2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</row>
    <row r="116" spans="1:205" s="4" customFormat="1" ht="13" x14ac:dyDescent="0.3">
      <c r="A116" s="29" t="s">
        <v>96</v>
      </c>
      <c r="B116" s="22" t="s">
        <v>96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</row>
    <row r="117" spans="1:205" s="4" customFormat="1" ht="13" x14ac:dyDescent="0.3">
      <c r="A117" s="29" t="s">
        <v>97</v>
      </c>
      <c r="B117" s="22" t="s">
        <v>97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</row>
    <row r="118" spans="1:205" s="4" customFormat="1" ht="13" x14ac:dyDescent="0.3">
      <c r="A118" s="29" t="s">
        <v>98</v>
      </c>
      <c r="B118" s="22" t="s">
        <v>98</v>
      </c>
      <c r="C118" s="3"/>
      <c r="D118" s="3"/>
      <c r="E118" s="3"/>
      <c r="F118" s="3"/>
      <c r="G118" s="3">
        <v>1</v>
      </c>
      <c r="H118" s="3"/>
      <c r="I118" s="3">
        <v>2</v>
      </c>
      <c r="J118" s="3"/>
      <c r="K118" s="3">
        <v>3</v>
      </c>
      <c r="L118" s="3">
        <v>3</v>
      </c>
      <c r="M118" s="3"/>
      <c r="N118" s="3">
        <v>3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</row>
    <row r="119" spans="1:205" s="4" customFormat="1" ht="13" x14ac:dyDescent="0.3">
      <c r="A119" s="29" t="s">
        <v>99</v>
      </c>
      <c r="B119" s="22" t="s">
        <v>99</v>
      </c>
      <c r="C119" s="3"/>
      <c r="D119" s="3"/>
      <c r="E119" s="3"/>
      <c r="F119" s="3"/>
      <c r="G119" s="3"/>
      <c r="H119" s="3"/>
      <c r="I119" s="3">
        <v>3</v>
      </c>
      <c r="J119" s="3"/>
      <c r="K119" s="3">
        <v>3</v>
      </c>
      <c r="L119" s="3">
        <v>2</v>
      </c>
      <c r="M119" s="3"/>
      <c r="N119" s="3">
        <v>2</v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</row>
    <row r="120" spans="1:205" s="4" customFormat="1" ht="13" x14ac:dyDescent="0.3">
      <c r="A120" s="29" t="s">
        <v>100</v>
      </c>
      <c r="B120" s="22" t="s">
        <v>100</v>
      </c>
      <c r="C120" s="3"/>
      <c r="D120" s="3"/>
      <c r="E120" s="3"/>
      <c r="F120" s="3"/>
      <c r="G120" s="3"/>
      <c r="H120" s="3"/>
      <c r="I120" s="3"/>
      <c r="J120" s="3"/>
      <c r="K120" s="3"/>
      <c r="L120" s="3">
        <v>2</v>
      </c>
      <c r="M120" s="3"/>
      <c r="N120" s="3">
        <v>2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</row>
    <row r="121" spans="1:205" s="4" customFormat="1" ht="13" x14ac:dyDescent="0.3">
      <c r="A121" s="29" t="s">
        <v>101</v>
      </c>
      <c r="B121" s="22" t="s">
        <v>101</v>
      </c>
      <c r="C121" s="3"/>
      <c r="D121" s="3"/>
      <c r="E121" s="3"/>
      <c r="F121" s="3"/>
      <c r="G121" s="3">
        <v>4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</row>
    <row r="122" spans="1:205" s="4" customFormat="1" ht="13" x14ac:dyDescent="0.3">
      <c r="A122" s="29" t="s">
        <v>285</v>
      </c>
      <c r="B122" s="22" t="s">
        <v>285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</row>
    <row r="123" spans="1:205" s="4" customFormat="1" ht="13" x14ac:dyDescent="0.3">
      <c r="A123" s="29" t="s">
        <v>102</v>
      </c>
      <c r="B123" s="22" t="s">
        <v>102</v>
      </c>
      <c r="C123" s="3">
        <v>1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</row>
    <row r="124" spans="1:205" s="4" customFormat="1" ht="13" x14ac:dyDescent="0.3">
      <c r="A124" s="28" t="s">
        <v>104</v>
      </c>
      <c r="B124" s="22" t="s">
        <v>104</v>
      </c>
      <c r="C124" s="3"/>
      <c r="D124" s="3"/>
      <c r="E124" s="3"/>
      <c r="F124" s="3"/>
      <c r="G124" s="3"/>
      <c r="H124" s="3">
        <v>4</v>
      </c>
      <c r="I124" s="3"/>
      <c r="J124" s="3">
        <v>1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</row>
    <row r="125" spans="1:205" s="4" customFormat="1" ht="13" x14ac:dyDescent="0.3">
      <c r="A125" s="29" t="s">
        <v>105</v>
      </c>
      <c r="B125" s="22" t="s">
        <v>105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</row>
    <row r="126" spans="1:205" s="4" customFormat="1" ht="13" x14ac:dyDescent="0.3">
      <c r="A126" s="29" t="s">
        <v>107</v>
      </c>
      <c r="B126" s="22" t="s">
        <v>107</v>
      </c>
      <c r="C126" s="3">
        <v>1</v>
      </c>
      <c r="D126" s="3"/>
      <c r="E126" s="3"/>
      <c r="F126" s="3"/>
      <c r="G126" s="3">
        <v>3</v>
      </c>
      <c r="H126" s="3"/>
      <c r="I126" s="3">
        <v>1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</row>
    <row r="127" spans="1:205" s="4" customFormat="1" ht="13" x14ac:dyDescent="0.3">
      <c r="A127" s="29" t="s">
        <v>287</v>
      </c>
      <c r="B127" s="22" t="s">
        <v>287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</row>
    <row r="128" spans="1:205" s="1" customFormat="1" ht="13" x14ac:dyDescent="0.3">
      <c r="A128" s="29" t="s">
        <v>288</v>
      </c>
      <c r="B128" s="22" t="s">
        <v>288</v>
      </c>
      <c r="C128" s="3"/>
      <c r="D128" s="3"/>
      <c r="E128" s="3"/>
      <c r="F128" s="3"/>
      <c r="G128" s="3"/>
      <c r="H128" s="3"/>
      <c r="I128" s="3"/>
      <c r="J128" s="3"/>
      <c r="K128" s="3">
        <v>4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</row>
    <row r="129" spans="1:49" s="1" customFormat="1" ht="13" x14ac:dyDescent="0.3">
      <c r="A129" s="29" t="s">
        <v>108</v>
      </c>
      <c r="B129" s="22" t="s">
        <v>108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</row>
    <row r="130" spans="1:49" s="1" customFormat="1" ht="13" x14ac:dyDescent="0.3">
      <c r="A130" s="28" t="s">
        <v>109</v>
      </c>
      <c r="B130" s="23" t="s">
        <v>109</v>
      </c>
      <c r="C130" s="20">
        <v>3</v>
      </c>
      <c r="D130" s="20"/>
      <c r="E130" s="20"/>
      <c r="F130" s="20"/>
      <c r="G130" s="20">
        <v>3</v>
      </c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</row>
    <row r="131" spans="1:49" s="1" customFormat="1" ht="13" x14ac:dyDescent="0.3">
      <c r="A131" s="29" t="s">
        <v>110</v>
      </c>
      <c r="B131" s="22" t="s">
        <v>110</v>
      </c>
      <c r="C131" s="3"/>
      <c r="D131" s="3"/>
      <c r="E131" s="3"/>
      <c r="F131" s="3"/>
      <c r="G131" s="3"/>
      <c r="H131" s="3"/>
      <c r="I131" s="3"/>
      <c r="J131" s="3"/>
      <c r="K131" s="3">
        <v>1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</row>
    <row r="132" spans="1:49" s="1" customFormat="1" ht="13" x14ac:dyDescent="0.3">
      <c r="A132" s="29" t="s">
        <v>111</v>
      </c>
      <c r="B132" s="22" t="s">
        <v>111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</row>
    <row r="133" spans="1:49" s="1" customFormat="1" ht="13" x14ac:dyDescent="0.3">
      <c r="A133" s="29" t="s">
        <v>112</v>
      </c>
      <c r="B133" s="22" t="s">
        <v>112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</row>
    <row r="134" spans="1:49" s="1" customFormat="1" ht="13" x14ac:dyDescent="0.3">
      <c r="A134" s="29" t="s">
        <v>289</v>
      </c>
      <c r="B134" s="22" t="s">
        <v>289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</row>
    <row r="135" spans="1:49" s="1" customFormat="1" ht="13" x14ac:dyDescent="0.3">
      <c r="A135" s="29" t="s">
        <v>113</v>
      </c>
      <c r="B135" s="22" t="s">
        <v>113</v>
      </c>
      <c r="C135" s="3">
        <v>2</v>
      </c>
      <c r="D135" s="3"/>
      <c r="E135" s="3"/>
      <c r="F135" s="3"/>
      <c r="G135" s="3">
        <v>3</v>
      </c>
      <c r="H135" s="3"/>
      <c r="I135" s="3">
        <v>3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</row>
    <row r="136" spans="1:49" s="1" customFormat="1" ht="13" x14ac:dyDescent="0.3">
      <c r="A136" s="29" t="s">
        <v>114</v>
      </c>
      <c r="B136" s="22" t="s">
        <v>114</v>
      </c>
      <c r="C136" s="3">
        <v>1</v>
      </c>
      <c r="D136" s="3"/>
      <c r="E136" s="3"/>
      <c r="F136" s="3"/>
      <c r="G136" s="3"/>
      <c r="H136" s="3"/>
      <c r="I136" s="3">
        <v>1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</row>
    <row r="137" spans="1:49" s="1" customFormat="1" ht="13" x14ac:dyDescent="0.3">
      <c r="A137" s="29" t="s">
        <v>115</v>
      </c>
      <c r="B137" s="22" t="s">
        <v>115</v>
      </c>
      <c r="C137" s="3">
        <v>2</v>
      </c>
      <c r="D137" s="3"/>
      <c r="E137" s="3"/>
      <c r="F137" s="3"/>
      <c r="G137" s="3"/>
      <c r="H137" s="3"/>
      <c r="I137" s="3"/>
      <c r="J137" s="3"/>
      <c r="K137" s="3">
        <v>1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</row>
    <row r="138" spans="1:49" s="1" customFormat="1" ht="13" x14ac:dyDescent="0.3">
      <c r="A138" s="29" t="s">
        <v>116</v>
      </c>
      <c r="B138" s="22" t="s">
        <v>116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</row>
    <row r="139" spans="1:49" s="1" customFormat="1" ht="13" x14ac:dyDescent="0.3">
      <c r="A139" s="29" t="s">
        <v>290</v>
      </c>
      <c r="B139" s="22" t="s">
        <v>290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</row>
    <row r="140" spans="1:49" s="1" customFormat="1" ht="13" x14ac:dyDescent="0.3">
      <c r="A140" s="29" t="s">
        <v>291</v>
      </c>
      <c r="B140" s="22" t="s">
        <v>291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</row>
    <row r="141" spans="1:49" s="1" customFormat="1" ht="13" x14ac:dyDescent="0.3">
      <c r="A141" s="29" t="s">
        <v>117</v>
      </c>
      <c r="B141" s="22" t="s">
        <v>117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>
        <v>1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</row>
    <row r="142" spans="1:49" s="1" customFormat="1" ht="13" x14ac:dyDescent="0.3">
      <c r="A142" s="29" t="s">
        <v>292</v>
      </c>
      <c r="B142" s="22" t="s">
        <v>292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</row>
    <row r="143" spans="1:49" s="1" customFormat="1" ht="13" x14ac:dyDescent="0.3">
      <c r="A143" s="29" t="s">
        <v>293</v>
      </c>
      <c r="B143" s="22" t="s">
        <v>293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</row>
    <row r="144" spans="1:49" s="1" customFormat="1" ht="13" x14ac:dyDescent="0.3">
      <c r="A144" s="29" t="s">
        <v>294</v>
      </c>
      <c r="B144" s="22" t="s">
        <v>294</v>
      </c>
      <c r="C144" s="3"/>
      <c r="D144" s="3"/>
      <c r="E144" s="3"/>
      <c r="F144" s="3"/>
      <c r="G144" s="3"/>
      <c r="H144" s="3"/>
      <c r="I144" s="3"/>
      <c r="J144" s="3"/>
      <c r="K144" s="3">
        <v>2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</row>
    <row r="145" spans="1:49" s="1" customFormat="1" ht="13" x14ac:dyDescent="0.3">
      <c r="A145" s="29" t="s">
        <v>295</v>
      </c>
      <c r="B145" s="22" t="s">
        <v>295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</row>
    <row r="146" spans="1:49" s="1" customFormat="1" ht="13" x14ac:dyDescent="0.3">
      <c r="A146" s="29" t="s">
        <v>297</v>
      </c>
      <c r="B146" s="22" t="s">
        <v>297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</row>
    <row r="147" spans="1:49" s="1" customFormat="1" ht="13" x14ac:dyDescent="0.3">
      <c r="A147" s="29" t="s">
        <v>298</v>
      </c>
      <c r="B147" s="22" t="s">
        <v>298</v>
      </c>
      <c r="C147" s="3"/>
      <c r="D147" s="3"/>
      <c r="E147" s="3"/>
      <c r="F147" s="3"/>
      <c r="G147" s="3"/>
      <c r="H147" s="3"/>
      <c r="I147" s="3"/>
      <c r="J147" s="3"/>
      <c r="K147" s="25">
        <v>3</v>
      </c>
      <c r="L147" s="3">
        <v>1</v>
      </c>
      <c r="M147" s="3"/>
      <c r="N147" s="3">
        <v>1</v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</row>
    <row r="148" spans="1:49" s="1" customFormat="1" ht="13" x14ac:dyDescent="0.3">
      <c r="A148" s="29" t="s">
        <v>299</v>
      </c>
      <c r="B148" s="22" t="s">
        <v>299</v>
      </c>
      <c r="C148" s="3"/>
      <c r="D148" s="3"/>
      <c r="E148" s="3"/>
      <c r="F148" s="3"/>
      <c r="G148" s="3"/>
      <c r="H148" s="3">
        <v>4</v>
      </c>
      <c r="I148" s="3"/>
      <c r="J148" s="3">
        <v>1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</row>
    <row r="149" spans="1:49" s="1" customFormat="1" ht="13" x14ac:dyDescent="0.3">
      <c r="A149" s="29" t="s">
        <v>372</v>
      </c>
      <c r="B149" s="22" t="s">
        <v>372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</row>
    <row r="150" spans="1:49" s="1" customFormat="1" ht="13" x14ac:dyDescent="0.3">
      <c r="A150" s="29" t="s">
        <v>120</v>
      </c>
      <c r="B150" s="22" t="s">
        <v>120</v>
      </c>
      <c r="C150" s="3">
        <v>3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</row>
    <row r="151" spans="1:49" s="1" customFormat="1" ht="13" x14ac:dyDescent="0.3">
      <c r="A151" s="29" t="s">
        <v>301</v>
      </c>
      <c r="B151" s="22" t="s">
        <v>301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</row>
    <row r="152" spans="1:49" s="1" customFormat="1" ht="13" x14ac:dyDescent="0.3">
      <c r="A152" s="28" t="s">
        <v>302</v>
      </c>
      <c r="B152" s="22" t="s">
        <v>302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</row>
    <row r="153" spans="1:49" s="1" customFormat="1" ht="13" x14ac:dyDescent="0.3">
      <c r="A153" s="29" t="s">
        <v>303</v>
      </c>
      <c r="B153" s="22" t="s">
        <v>303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</row>
    <row r="154" spans="1:49" s="1" customFormat="1" ht="13" x14ac:dyDescent="0.3">
      <c r="A154" s="29" t="s">
        <v>304</v>
      </c>
      <c r="B154" s="22" t="s">
        <v>304</v>
      </c>
      <c r="C154" s="3"/>
      <c r="D154" s="3"/>
      <c r="E154" s="3"/>
      <c r="F154" s="3"/>
      <c r="G154" s="3"/>
      <c r="H154" s="3"/>
      <c r="I154" s="3"/>
      <c r="J154" s="3"/>
      <c r="K154" s="3">
        <v>1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</row>
    <row r="155" spans="1:49" s="1" customFormat="1" ht="13" x14ac:dyDescent="0.3">
      <c r="A155" s="29" t="s">
        <v>305</v>
      </c>
      <c r="B155" s="22" t="s">
        <v>305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</row>
    <row r="156" spans="1:49" s="1" customFormat="1" ht="13" x14ac:dyDescent="0.3">
      <c r="A156" s="29" t="s">
        <v>123</v>
      </c>
      <c r="B156" s="22" t="s">
        <v>123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</row>
    <row r="157" spans="1:49" s="1" customFormat="1" ht="13" x14ac:dyDescent="0.3">
      <c r="A157" s="29" t="s">
        <v>124</v>
      </c>
      <c r="B157" s="22" t="s">
        <v>124</v>
      </c>
      <c r="C157" s="3">
        <v>2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</row>
    <row r="158" spans="1:49" s="1" customFormat="1" ht="13" x14ac:dyDescent="0.3">
      <c r="A158" s="29" t="s">
        <v>306</v>
      </c>
      <c r="B158" s="22" t="s">
        <v>306</v>
      </c>
      <c r="C158" s="3">
        <v>3</v>
      </c>
      <c r="D158" s="3"/>
      <c r="E158" s="3"/>
      <c r="F158" s="3"/>
      <c r="G158" s="3">
        <v>3</v>
      </c>
      <c r="H158" s="3"/>
      <c r="I158" s="3">
        <v>3</v>
      </c>
      <c r="J158" s="3"/>
      <c r="K158" s="3"/>
      <c r="L158" s="3"/>
      <c r="M158" s="3">
        <v>3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</row>
    <row r="159" spans="1:49" s="1" customFormat="1" ht="13" x14ac:dyDescent="0.3">
      <c r="A159" s="29" t="s">
        <v>125</v>
      </c>
      <c r="B159" s="22" t="s">
        <v>125</v>
      </c>
      <c r="C159" s="3">
        <v>2</v>
      </c>
      <c r="D159" s="3"/>
      <c r="E159" s="3"/>
      <c r="F159" s="3"/>
      <c r="G159" s="3"/>
      <c r="H159" s="3"/>
      <c r="I159" s="3"/>
      <c r="J159" s="3"/>
      <c r="K159" s="3">
        <v>1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</row>
    <row r="160" spans="1:49" s="1" customFormat="1" ht="13" x14ac:dyDescent="0.3">
      <c r="A160" s="29" t="s">
        <v>307</v>
      </c>
      <c r="B160" s="22" t="s">
        <v>307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</row>
    <row r="161" spans="1:49" s="1" customFormat="1" ht="13" x14ac:dyDescent="0.3">
      <c r="A161" s="29" t="s">
        <v>308</v>
      </c>
      <c r="B161" s="22" t="s">
        <v>308</v>
      </c>
      <c r="C161" s="3">
        <v>3</v>
      </c>
      <c r="D161" s="3">
        <v>3</v>
      </c>
      <c r="E161" s="3">
        <v>3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</row>
    <row r="162" spans="1:49" s="1" customFormat="1" ht="13" x14ac:dyDescent="0.3">
      <c r="A162" s="29" t="s">
        <v>310</v>
      </c>
      <c r="B162" s="22" t="s">
        <v>310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</row>
    <row r="163" spans="1:49" s="1" customFormat="1" ht="13" x14ac:dyDescent="0.3">
      <c r="A163" s="28" t="s">
        <v>311</v>
      </c>
      <c r="B163" s="23" t="s">
        <v>311</v>
      </c>
      <c r="C163" s="20"/>
      <c r="D163" s="20"/>
      <c r="E163" s="20"/>
      <c r="F163" s="20"/>
      <c r="G163" s="20"/>
      <c r="H163" s="20"/>
      <c r="I163" s="20"/>
      <c r="J163" s="20"/>
      <c r="K163" s="20">
        <v>4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</row>
    <row r="164" spans="1:49" s="1" customFormat="1" ht="13" x14ac:dyDescent="0.3">
      <c r="A164" s="29" t="s">
        <v>312</v>
      </c>
      <c r="B164" s="22" t="s">
        <v>312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</row>
    <row r="165" spans="1:49" s="1" customFormat="1" ht="13" x14ac:dyDescent="0.3">
      <c r="A165" s="29" t="s">
        <v>127</v>
      </c>
      <c r="B165" s="22" t="s">
        <v>127</v>
      </c>
      <c r="C165" s="3">
        <v>2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24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</row>
    <row r="166" spans="1:49" s="1" customFormat="1" ht="13" x14ac:dyDescent="0.3">
      <c r="A166" s="29" t="s">
        <v>314</v>
      </c>
      <c r="B166" s="22" t="s">
        <v>314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</row>
    <row r="167" spans="1:49" s="1" customFormat="1" ht="13" x14ac:dyDescent="0.3">
      <c r="A167" s="29" t="s">
        <v>129</v>
      </c>
      <c r="B167" s="22" t="s">
        <v>129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</row>
    <row r="168" spans="1:49" s="1" customFormat="1" ht="13" x14ac:dyDescent="0.3">
      <c r="A168" s="29" t="s">
        <v>316</v>
      </c>
      <c r="B168" s="22" t="s">
        <v>316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</row>
    <row r="169" spans="1:49" s="1" customFormat="1" ht="13" x14ac:dyDescent="0.3">
      <c r="A169" s="29" t="s">
        <v>130</v>
      </c>
      <c r="B169" s="22" t="s">
        <v>130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</row>
    <row r="170" spans="1:49" s="1" customFormat="1" ht="13" x14ac:dyDescent="0.3">
      <c r="A170" s="29" t="s">
        <v>317</v>
      </c>
      <c r="B170" s="22" t="s">
        <v>317</v>
      </c>
      <c r="C170" s="3"/>
      <c r="D170" s="3"/>
      <c r="E170" s="3"/>
      <c r="F170" s="3"/>
      <c r="G170" s="3"/>
      <c r="H170" s="3"/>
      <c r="I170" s="3"/>
      <c r="J170" s="3"/>
      <c r="K170" s="3">
        <v>1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</row>
    <row r="171" spans="1:49" s="1" customFormat="1" ht="13" x14ac:dyDescent="0.3">
      <c r="A171" s="29" t="s">
        <v>318</v>
      </c>
      <c r="B171" s="22" t="s">
        <v>318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</row>
    <row r="172" spans="1:49" s="1" customFormat="1" ht="13" x14ac:dyDescent="0.3">
      <c r="A172" s="29" t="s">
        <v>319</v>
      </c>
      <c r="B172" s="22" t="s">
        <v>319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</row>
    <row r="173" spans="1:49" s="1" customFormat="1" ht="13" x14ac:dyDescent="0.3">
      <c r="A173" s="29" t="s">
        <v>320</v>
      </c>
      <c r="B173" s="22" t="s">
        <v>320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</row>
    <row r="174" spans="1:49" s="1" customFormat="1" ht="13" x14ac:dyDescent="0.3">
      <c r="A174" s="29" t="s">
        <v>321</v>
      </c>
      <c r="B174" s="22" t="s">
        <v>321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</row>
    <row r="175" spans="1:49" s="1" customFormat="1" ht="13" x14ac:dyDescent="0.3">
      <c r="A175" s="29" t="s">
        <v>133</v>
      </c>
      <c r="B175" s="22" t="s">
        <v>133</v>
      </c>
      <c r="C175" s="3"/>
      <c r="D175" s="3"/>
      <c r="E175" s="3"/>
      <c r="F175" s="3"/>
      <c r="G175" s="3"/>
      <c r="H175" s="3"/>
      <c r="I175" s="3"/>
      <c r="J175" s="3"/>
      <c r="K175" s="3">
        <v>1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</row>
    <row r="176" spans="1:49" s="1" customFormat="1" ht="13" x14ac:dyDescent="0.3">
      <c r="A176" s="29" t="s">
        <v>134</v>
      </c>
      <c r="B176" s="22" t="s">
        <v>134</v>
      </c>
      <c r="C176" s="3">
        <v>1</v>
      </c>
      <c r="D176" s="3"/>
      <c r="E176" s="3"/>
      <c r="F176" s="3"/>
      <c r="G176" s="3">
        <v>3</v>
      </c>
      <c r="H176" s="3"/>
      <c r="I176" s="3">
        <v>3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</row>
    <row r="177" spans="1:49" s="1" customFormat="1" ht="13" x14ac:dyDescent="0.3">
      <c r="A177" s="29" t="s">
        <v>135</v>
      </c>
      <c r="B177" s="22" t="s">
        <v>135</v>
      </c>
      <c r="C177" s="3">
        <v>2</v>
      </c>
      <c r="D177" s="3"/>
      <c r="E177" s="3"/>
      <c r="F177" s="3"/>
      <c r="G177" s="3">
        <v>1</v>
      </c>
      <c r="H177" s="3"/>
      <c r="I177" s="3"/>
      <c r="J177" s="3"/>
      <c r="K177" s="3">
        <v>1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</row>
    <row r="178" spans="1:49" s="1" customFormat="1" ht="13" x14ac:dyDescent="0.3">
      <c r="A178" s="28" t="s">
        <v>322</v>
      </c>
      <c r="B178" s="22" t="s">
        <v>322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</row>
    <row r="179" spans="1:49" s="1" customFormat="1" ht="13" x14ac:dyDescent="0.3">
      <c r="A179" s="29" t="s">
        <v>323</v>
      </c>
      <c r="B179" s="22" t="s">
        <v>323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</row>
    <row r="180" spans="1:49" s="1" customFormat="1" ht="13" x14ac:dyDescent="0.3">
      <c r="A180" s="29" t="s">
        <v>324</v>
      </c>
      <c r="B180" s="22" t="s">
        <v>324</v>
      </c>
      <c r="C180" s="3"/>
      <c r="D180" s="3"/>
      <c r="E180" s="3"/>
      <c r="F180" s="3"/>
      <c r="G180" s="3"/>
      <c r="H180" s="3"/>
      <c r="I180" s="3"/>
      <c r="J180" s="3"/>
      <c r="K180" s="3">
        <v>1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</row>
    <row r="181" spans="1:49" s="1" customFormat="1" ht="13" x14ac:dyDescent="0.3">
      <c r="A181" s="29" t="s">
        <v>325</v>
      </c>
      <c r="B181" s="22" t="s">
        <v>325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</row>
    <row r="182" spans="1:49" s="1" customFormat="1" ht="13" x14ac:dyDescent="0.3">
      <c r="A182" s="29" t="s">
        <v>136</v>
      </c>
      <c r="B182" s="22" t="s">
        <v>136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</row>
    <row r="183" spans="1:49" s="1" customFormat="1" ht="13" x14ac:dyDescent="0.3">
      <c r="A183" s="29" t="s">
        <v>137</v>
      </c>
      <c r="B183" s="22" t="s">
        <v>137</v>
      </c>
      <c r="C183" s="3"/>
      <c r="D183" s="3"/>
      <c r="E183" s="3"/>
      <c r="F183" s="3"/>
      <c r="G183" s="3"/>
      <c r="H183" s="3"/>
      <c r="I183" s="3"/>
      <c r="J183" s="3"/>
      <c r="K183" s="3">
        <v>2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</row>
    <row r="184" spans="1:49" s="1" customFormat="1" ht="13" x14ac:dyDescent="0.3">
      <c r="A184" s="29" t="s">
        <v>138</v>
      </c>
      <c r="B184" s="22" t="s">
        <v>138</v>
      </c>
      <c r="C184" s="3"/>
      <c r="D184" s="3"/>
      <c r="E184" s="3"/>
      <c r="F184" s="3"/>
      <c r="G184" s="3"/>
      <c r="H184" s="3"/>
      <c r="I184" s="3"/>
      <c r="J184" s="3"/>
      <c r="K184" s="3">
        <v>1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</row>
    <row r="185" spans="1:49" s="1" customFormat="1" ht="13" x14ac:dyDescent="0.3">
      <c r="A185" s="29" t="s">
        <v>139</v>
      </c>
      <c r="B185" s="22" t="s">
        <v>139</v>
      </c>
      <c r="C185" s="3">
        <v>2</v>
      </c>
      <c r="D185" s="3"/>
      <c r="E185" s="3"/>
      <c r="F185" s="3"/>
      <c r="G185" s="3">
        <v>3</v>
      </c>
      <c r="H185" s="3"/>
      <c r="I185" s="3"/>
      <c r="J185" s="3"/>
      <c r="K185" s="3">
        <v>1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</row>
    <row r="186" spans="1:49" s="1" customFormat="1" ht="13" x14ac:dyDescent="0.3">
      <c r="A186" s="29" t="s">
        <v>140</v>
      </c>
      <c r="B186" s="22" t="s">
        <v>140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</row>
    <row r="187" spans="1:49" s="1" customFormat="1" ht="13" x14ac:dyDescent="0.3">
      <c r="A187" s="29" t="s">
        <v>141</v>
      </c>
      <c r="B187" s="22" t="s">
        <v>141</v>
      </c>
      <c r="C187" s="3"/>
      <c r="D187" s="3"/>
      <c r="E187" s="3"/>
      <c r="F187" s="3"/>
      <c r="G187" s="3"/>
      <c r="H187" s="3"/>
      <c r="I187" s="3">
        <v>1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</row>
    <row r="188" spans="1:49" s="1" customFormat="1" ht="13" x14ac:dyDescent="0.3">
      <c r="A188" s="29" t="s">
        <v>326</v>
      </c>
      <c r="B188" s="22" t="s">
        <v>326</v>
      </c>
      <c r="C188" s="3">
        <v>1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</row>
    <row r="189" spans="1:49" s="1" customFormat="1" ht="13" x14ac:dyDescent="0.3">
      <c r="A189" s="29" t="s">
        <v>327</v>
      </c>
      <c r="B189" s="22" t="s">
        <v>327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</row>
    <row r="190" spans="1:49" s="1" customFormat="1" ht="13" x14ac:dyDescent="0.3">
      <c r="A190" s="29" t="s">
        <v>142</v>
      </c>
      <c r="B190" s="22" t="s">
        <v>142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</row>
    <row r="191" spans="1:49" s="1" customFormat="1" ht="13" x14ac:dyDescent="0.3">
      <c r="A191" s="29" t="s">
        <v>143</v>
      </c>
      <c r="B191" s="22" t="s">
        <v>143</v>
      </c>
      <c r="C191" s="3">
        <v>3</v>
      </c>
      <c r="D191" s="3">
        <v>3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</row>
    <row r="192" spans="1:49" s="1" customFormat="1" ht="13" x14ac:dyDescent="0.3">
      <c r="A192" s="29" t="s">
        <v>328</v>
      </c>
      <c r="B192" s="22" t="s">
        <v>328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</row>
    <row r="193" spans="1:49" s="1" customFormat="1" ht="13" x14ac:dyDescent="0.3">
      <c r="A193" s="29" t="s">
        <v>329</v>
      </c>
      <c r="B193" s="22" t="s">
        <v>329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</row>
    <row r="194" spans="1:49" s="1" customFormat="1" ht="13" x14ac:dyDescent="0.3">
      <c r="A194" s="29" t="s">
        <v>330</v>
      </c>
      <c r="B194" s="22" t="s">
        <v>330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</row>
    <row r="195" spans="1:49" s="1" customFormat="1" ht="13" x14ac:dyDescent="0.3">
      <c r="A195" s="29" t="s">
        <v>144</v>
      </c>
      <c r="B195" s="22" t="s">
        <v>144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</row>
    <row r="196" spans="1:49" s="1" customFormat="1" ht="13" x14ac:dyDescent="0.3">
      <c r="A196" s="28" t="s">
        <v>145</v>
      </c>
      <c r="B196" s="23" t="s">
        <v>145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</row>
    <row r="197" spans="1:49" s="1" customFormat="1" ht="13" x14ac:dyDescent="0.3">
      <c r="A197" s="29" t="s">
        <v>146</v>
      </c>
      <c r="B197" s="22" t="s">
        <v>146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</row>
    <row r="198" spans="1:49" s="1" customFormat="1" ht="13" x14ac:dyDescent="0.3">
      <c r="A198" s="29" t="s">
        <v>331</v>
      </c>
      <c r="B198" s="22" t="s">
        <v>331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</row>
    <row r="199" spans="1:49" s="1" customFormat="1" ht="13" x14ac:dyDescent="0.3">
      <c r="A199" s="29" t="s">
        <v>333</v>
      </c>
      <c r="B199" s="22" t="s">
        <v>333</v>
      </c>
      <c r="C199" s="3"/>
      <c r="D199" s="3"/>
      <c r="E199" s="3"/>
      <c r="F199" s="3"/>
      <c r="G199" s="3"/>
      <c r="H199" s="3"/>
      <c r="I199" s="3"/>
      <c r="J199" s="3"/>
      <c r="K199" s="3">
        <v>1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</row>
    <row r="200" spans="1:49" s="1" customFormat="1" ht="13" x14ac:dyDescent="0.3">
      <c r="A200" s="29" t="s">
        <v>147</v>
      </c>
      <c r="B200" s="22" t="s">
        <v>147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</row>
    <row r="201" spans="1:49" s="1" customFormat="1" ht="13" x14ac:dyDescent="0.3">
      <c r="A201" s="29" t="s">
        <v>148</v>
      </c>
      <c r="B201" s="22" t="s">
        <v>148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</row>
    <row r="202" spans="1:49" s="1" customFormat="1" ht="13" x14ac:dyDescent="0.3">
      <c r="A202" s="29" t="s">
        <v>334</v>
      </c>
      <c r="B202" s="22" t="s">
        <v>334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</row>
    <row r="203" spans="1:49" s="1" customFormat="1" ht="13" x14ac:dyDescent="0.3">
      <c r="A203" s="29" t="s">
        <v>149</v>
      </c>
      <c r="B203" s="22" t="s">
        <v>149</v>
      </c>
      <c r="C203" s="3">
        <v>2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</row>
    <row r="204" spans="1:49" s="1" customFormat="1" ht="13" x14ac:dyDescent="0.3">
      <c r="A204" s="29" t="s">
        <v>335</v>
      </c>
      <c r="B204" s="22" t="s">
        <v>335</v>
      </c>
      <c r="C204" s="3">
        <v>1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</row>
    <row r="205" spans="1:49" s="1" customFormat="1" ht="13" x14ac:dyDescent="0.3">
      <c r="A205" s="29" t="s">
        <v>150</v>
      </c>
      <c r="B205" s="22" t="s">
        <v>150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</row>
    <row r="206" spans="1:49" s="1" customFormat="1" ht="13" x14ac:dyDescent="0.3">
      <c r="A206" s="29" t="s">
        <v>151</v>
      </c>
      <c r="B206" s="22" t="s">
        <v>151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</row>
    <row r="207" spans="1:49" s="1" customFormat="1" ht="13" x14ac:dyDescent="0.3">
      <c r="A207" s="29" t="s">
        <v>336</v>
      </c>
      <c r="B207" s="22" t="s">
        <v>336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</row>
    <row r="208" spans="1:49" s="1" customFormat="1" ht="13" x14ac:dyDescent="0.3">
      <c r="A208" s="29" t="s">
        <v>337</v>
      </c>
      <c r="B208" s="22" t="s">
        <v>337</v>
      </c>
      <c r="C208" s="3"/>
      <c r="D208" s="3"/>
      <c r="E208" s="3">
        <v>1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</row>
    <row r="209" spans="1:49" s="1" customFormat="1" ht="13" x14ac:dyDescent="0.3">
      <c r="A209" s="28" t="s">
        <v>153</v>
      </c>
      <c r="B209" s="22" t="s">
        <v>153</v>
      </c>
      <c r="C209" s="3">
        <v>2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</row>
    <row r="210" spans="1:49" s="1" customFormat="1" ht="13" x14ac:dyDescent="0.3">
      <c r="A210" s="29" t="s">
        <v>154</v>
      </c>
      <c r="B210" s="22" t="s">
        <v>154</v>
      </c>
      <c r="C210" s="3">
        <v>2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</row>
    <row r="211" spans="1:49" s="1" customFormat="1" ht="13" x14ac:dyDescent="0.3">
      <c r="A211" s="29" t="s">
        <v>340</v>
      </c>
      <c r="B211" s="22" t="s">
        <v>340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</row>
    <row r="212" spans="1:49" s="1" customFormat="1" ht="13" x14ac:dyDescent="0.3">
      <c r="A212" s="29" t="s">
        <v>341</v>
      </c>
      <c r="B212" s="22" t="s">
        <v>341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</row>
    <row r="213" spans="1:49" s="1" customFormat="1" ht="13" x14ac:dyDescent="0.3">
      <c r="A213" s="29" t="s">
        <v>342</v>
      </c>
      <c r="B213" s="22" t="s">
        <v>342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</row>
    <row r="214" spans="1:49" s="1" customFormat="1" ht="13" x14ac:dyDescent="0.3">
      <c r="A214" s="29" t="s">
        <v>343</v>
      </c>
      <c r="B214" s="22" t="s">
        <v>343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</row>
    <row r="215" spans="1:49" s="1" customFormat="1" ht="13" x14ac:dyDescent="0.3">
      <c r="A215" s="29" t="s">
        <v>344</v>
      </c>
      <c r="B215" s="22" t="s">
        <v>344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</row>
    <row r="216" spans="1:49" s="1" customFormat="1" ht="13" x14ac:dyDescent="0.3">
      <c r="A216" s="29" t="s">
        <v>156</v>
      </c>
      <c r="B216" s="22" t="s">
        <v>156</v>
      </c>
      <c r="C216" s="3">
        <v>1</v>
      </c>
      <c r="D216" s="3"/>
      <c r="E216" s="3"/>
      <c r="F216" s="3"/>
      <c r="G216" s="3"/>
      <c r="H216" s="3"/>
      <c r="I216" s="3">
        <v>1</v>
      </c>
      <c r="J216" s="3"/>
      <c r="K216" s="3">
        <v>2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</row>
    <row r="217" spans="1:49" s="1" customFormat="1" ht="13" x14ac:dyDescent="0.3">
      <c r="A217" s="29" t="s">
        <v>157</v>
      </c>
      <c r="B217" s="22" t="s">
        <v>157</v>
      </c>
      <c r="C217" s="3"/>
      <c r="D217" s="3"/>
      <c r="E217" s="3"/>
      <c r="F217" s="3"/>
      <c r="G217" s="3"/>
      <c r="H217" s="3"/>
      <c r="I217" s="3">
        <v>2</v>
      </c>
      <c r="J217" s="3"/>
      <c r="K217" s="3">
        <v>3</v>
      </c>
      <c r="L217" s="3">
        <v>3</v>
      </c>
      <c r="M217" s="3"/>
      <c r="N217" s="3">
        <v>3</v>
      </c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</row>
    <row r="218" spans="1:49" s="1" customFormat="1" ht="13" x14ac:dyDescent="0.3">
      <c r="A218" s="29" t="s">
        <v>345</v>
      </c>
      <c r="B218" s="22" t="s">
        <v>345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</row>
    <row r="219" spans="1:49" s="1" customFormat="1" ht="13" x14ac:dyDescent="0.3">
      <c r="A219" s="29" t="s">
        <v>158</v>
      </c>
      <c r="B219" s="22" t="s">
        <v>158</v>
      </c>
      <c r="C219" s="3">
        <v>2</v>
      </c>
      <c r="D219" s="3"/>
      <c r="E219" s="3"/>
      <c r="F219" s="3"/>
      <c r="G219" s="3"/>
      <c r="H219" s="3"/>
      <c r="I219" s="3"/>
      <c r="J219" s="3"/>
      <c r="K219" s="3">
        <v>3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</row>
    <row r="220" spans="1:49" s="1" customFormat="1" ht="13" x14ac:dyDescent="0.3">
      <c r="A220" s="29" t="s">
        <v>346</v>
      </c>
      <c r="B220" s="22" t="s">
        <v>346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</row>
    <row r="221" spans="1:49" s="1" customFormat="1" ht="13" x14ac:dyDescent="0.3">
      <c r="A221" s="29" t="s">
        <v>160</v>
      </c>
      <c r="B221" s="22" t="s">
        <v>160</v>
      </c>
      <c r="C221" s="3">
        <v>1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</row>
    <row r="222" spans="1:49" s="1" customFormat="1" ht="13" x14ac:dyDescent="0.3">
      <c r="A222" s="29" t="s">
        <v>347</v>
      </c>
      <c r="B222" s="22" t="s">
        <v>347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</row>
    <row r="223" spans="1:49" s="1" customFormat="1" ht="13" x14ac:dyDescent="0.3">
      <c r="A223" s="29" t="s">
        <v>161</v>
      </c>
      <c r="B223" s="22" t="s">
        <v>161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</row>
    <row r="224" spans="1:49" s="1" customFormat="1" ht="13" x14ac:dyDescent="0.3">
      <c r="A224" s="29" t="s">
        <v>162</v>
      </c>
      <c r="B224" s="22" t="s">
        <v>162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</row>
    <row r="225" spans="1:49" s="1" customFormat="1" ht="13" x14ac:dyDescent="0.3">
      <c r="A225" s="29" t="s">
        <v>163</v>
      </c>
      <c r="B225" s="22" t="s">
        <v>163</v>
      </c>
      <c r="C225" s="3">
        <v>2</v>
      </c>
      <c r="D225" s="3"/>
      <c r="E225" s="3"/>
      <c r="F225" s="3"/>
      <c r="G225" s="3"/>
      <c r="H225" s="3"/>
      <c r="I225" s="3"/>
      <c r="J225" s="3"/>
      <c r="K225" s="3">
        <v>1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</row>
    <row r="226" spans="1:49" s="1" customFormat="1" ht="13" x14ac:dyDescent="0.3">
      <c r="A226" s="30" t="s">
        <v>164</v>
      </c>
      <c r="B226" s="22" t="s">
        <v>164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</row>
    <row r="227" spans="1:49" s="1" customFormat="1" ht="13" x14ac:dyDescent="0.3">
      <c r="A227" s="30" t="s">
        <v>165</v>
      </c>
      <c r="B227" s="22" t="s">
        <v>165</v>
      </c>
      <c r="C227" s="3">
        <v>2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</row>
    <row r="228" spans="1:49" s="1" customFormat="1" ht="13" x14ac:dyDescent="0.3">
      <c r="A228" s="30" t="s">
        <v>348</v>
      </c>
      <c r="B228" s="22" t="s">
        <v>348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</row>
    <row r="229" spans="1:49" s="1" customFormat="1" ht="13" x14ac:dyDescent="0.3">
      <c r="A229" s="34" t="s">
        <v>350</v>
      </c>
      <c r="B229" s="22" t="s">
        <v>350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</row>
    <row r="230" spans="1:49" s="1" customFormat="1" ht="13" x14ac:dyDescent="0.3">
      <c r="A230" s="31" t="s">
        <v>351</v>
      </c>
      <c r="B230" s="22" t="s">
        <v>351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</row>
    <row r="231" spans="1:49" s="1" customFormat="1" ht="13" x14ac:dyDescent="0.3">
      <c r="A231" s="31" t="s">
        <v>352</v>
      </c>
      <c r="B231" s="22" t="s">
        <v>352</v>
      </c>
      <c r="C231" s="3"/>
      <c r="D231" s="3"/>
      <c r="E231" s="3"/>
      <c r="F231" s="3"/>
      <c r="G231" s="3"/>
      <c r="H231" s="3"/>
      <c r="I231" s="3">
        <v>1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</row>
    <row r="232" spans="1:49" s="1" customFormat="1" ht="13" x14ac:dyDescent="0.3">
      <c r="A232" s="31" t="s">
        <v>353</v>
      </c>
      <c r="B232" s="22" t="s">
        <v>353</v>
      </c>
      <c r="C232" s="3"/>
      <c r="D232" s="3"/>
      <c r="E232" s="3">
        <v>1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</row>
    <row r="233" spans="1:49" s="1" customFormat="1" ht="13" x14ac:dyDescent="0.3">
      <c r="A233" s="31" t="s">
        <v>166</v>
      </c>
      <c r="B233" s="22" t="s">
        <v>166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</row>
    <row r="234" spans="1:49" s="1" customFormat="1" ht="13" x14ac:dyDescent="0.3">
      <c r="A234" s="33" t="s">
        <v>355</v>
      </c>
      <c r="B234" s="23" t="s">
        <v>355</v>
      </c>
      <c r="C234" s="20"/>
      <c r="D234" s="20"/>
      <c r="E234" s="20"/>
      <c r="F234" s="20"/>
      <c r="G234" s="20"/>
      <c r="H234" s="20"/>
      <c r="I234" s="20">
        <v>1</v>
      </c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3"/>
      <c r="AQ234" s="3"/>
      <c r="AR234" s="3"/>
      <c r="AS234" s="3"/>
      <c r="AT234" s="20"/>
      <c r="AU234" s="20"/>
      <c r="AV234" s="20"/>
      <c r="AW234" s="20"/>
    </row>
    <row r="235" spans="1:49" s="1" customFormat="1" ht="13" x14ac:dyDescent="0.3">
      <c r="A235" s="31" t="s">
        <v>356</v>
      </c>
      <c r="B235" s="22" t="s">
        <v>356</v>
      </c>
      <c r="C235" s="3"/>
      <c r="D235" s="3"/>
      <c r="E235" s="3">
        <v>1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</row>
    <row r="236" spans="1:49" s="1" customFormat="1" ht="13" x14ac:dyDescent="0.3">
      <c r="A236" s="31" t="s">
        <v>358</v>
      </c>
      <c r="B236" s="22" t="s">
        <v>358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</row>
    <row r="237" spans="1:49" s="1" customFormat="1" ht="13" x14ac:dyDescent="0.3">
      <c r="A237" s="30" t="s">
        <v>167</v>
      </c>
      <c r="B237" s="22" t="s">
        <v>167</v>
      </c>
      <c r="C237" s="3">
        <v>2</v>
      </c>
      <c r="D237" s="3"/>
      <c r="E237" s="3"/>
      <c r="F237" s="3"/>
      <c r="G237" s="3"/>
      <c r="H237" s="3"/>
      <c r="I237" s="3"/>
      <c r="J237" s="3"/>
      <c r="K237" s="3">
        <v>1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</row>
    <row r="238" spans="1:49" s="1" customFormat="1" ht="13" x14ac:dyDescent="0.3">
      <c r="A238" s="30" t="s">
        <v>360</v>
      </c>
      <c r="B238" s="22" t="s">
        <v>360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</row>
    <row r="239" spans="1:49" s="1" customFormat="1" ht="13" x14ac:dyDescent="0.3">
      <c r="A239" s="30" t="s">
        <v>361</v>
      </c>
      <c r="B239" s="22" t="s">
        <v>361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</row>
    <row r="240" spans="1:49" s="1" customFormat="1" ht="13" x14ac:dyDescent="0.3">
      <c r="A240" s="30" t="s">
        <v>362</v>
      </c>
      <c r="B240" s="22" t="s">
        <v>362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</row>
    <row r="241" spans="1:49" s="1" customFormat="1" ht="13" x14ac:dyDescent="0.3">
      <c r="A241" s="30" t="s">
        <v>169</v>
      </c>
      <c r="B241" s="22" t="s">
        <v>169</v>
      </c>
      <c r="C241" s="3"/>
      <c r="D241" s="3"/>
      <c r="E241" s="3"/>
      <c r="F241" s="3"/>
      <c r="G241" s="3"/>
      <c r="H241" s="3"/>
      <c r="I241" s="3"/>
      <c r="J241" s="3"/>
      <c r="K241" s="3">
        <v>1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</row>
    <row r="242" spans="1:49" s="1" customFormat="1" ht="13" x14ac:dyDescent="0.3">
      <c r="A242" s="30" t="s">
        <v>363</v>
      </c>
      <c r="B242" s="22" t="s">
        <v>363</v>
      </c>
      <c r="C242" s="3"/>
      <c r="D242" s="3"/>
      <c r="E242" s="3"/>
      <c r="F242" s="3"/>
      <c r="G242" s="3"/>
      <c r="H242" s="3"/>
      <c r="I242" s="3">
        <v>1</v>
      </c>
      <c r="J242" s="3"/>
      <c r="K242" s="3">
        <v>1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</row>
    <row r="243" spans="1:49" s="1" customFormat="1" ht="13" x14ac:dyDescent="0.3">
      <c r="A243" s="30" t="s">
        <v>364</v>
      </c>
      <c r="B243" s="22" t="s">
        <v>364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</row>
    <row r="244" spans="1:49" s="1" customFormat="1" ht="13" x14ac:dyDescent="0.3">
      <c r="A244" s="30" t="s">
        <v>365</v>
      </c>
      <c r="B244" s="22" t="s">
        <v>365</v>
      </c>
      <c r="C244" s="3"/>
      <c r="D244" s="3"/>
      <c r="E244" s="3"/>
      <c r="F244" s="3"/>
      <c r="G244" s="3"/>
      <c r="H244" s="3"/>
      <c r="I244" s="3"/>
      <c r="J244" s="3"/>
      <c r="K244" s="3">
        <v>1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</row>
    <row r="245" spans="1:49" s="1" customFormat="1" ht="13" x14ac:dyDescent="0.3">
      <c r="A245" s="30" t="s">
        <v>170</v>
      </c>
      <c r="B245" s="22" t="s">
        <v>170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</row>
    <row r="246" spans="1:49" s="1" customFormat="1" ht="13" x14ac:dyDescent="0.3">
      <c r="A246" s="30" t="s">
        <v>366</v>
      </c>
      <c r="B246" s="22" t="s">
        <v>366</v>
      </c>
      <c r="C246" s="3">
        <v>1</v>
      </c>
      <c r="D246" s="3"/>
      <c r="E246" s="3"/>
      <c r="F246" s="3"/>
      <c r="G246" s="3"/>
      <c r="H246" s="3"/>
      <c r="I246" s="3"/>
      <c r="J246" s="3"/>
      <c r="K246" s="3">
        <v>1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</row>
    <row r="247" spans="1:49" s="1" customFormat="1" ht="13" x14ac:dyDescent="0.3">
      <c r="A247" s="32" t="s">
        <v>367</v>
      </c>
      <c r="B247" s="22" t="s">
        <v>367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</row>
    <row r="248" spans="1:49" s="1" customFormat="1" ht="13" x14ac:dyDescent="0.3">
      <c r="A248" s="32" t="s">
        <v>368</v>
      </c>
      <c r="B248" s="22" t="s">
        <v>368</v>
      </c>
      <c r="C248" s="3">
        <v>1</v>
      </c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</row>
    <row r="249" spans="1:49" s="1" customFormat="1" ht="13" x14ac:dyDescent="0.3">
      <c r="A249" s="32" t="s">
        <v>172</v>
      </c>
      <c r="B249" s="22" t="s">
        <v>172</v>
      </c>
      <c r="C249" s="3"/>
      <c r="D249" s="3"/>
      <c r="E249" s="3"/>
      <c r="F249" s="3"/>
      <c r="G249" s="3"/>
      <c r="H249" s="3">
        <v>4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</row>
    <row r="250" spans="1:49" s="1" customFormat="1" ht="13" x14ac:dyDescent="0.3">
      <c r="A250" s="32" t="s">
        <v>173</v>
      </c>
      <c r="B250" s="22" t="s">
        <v>173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</row>
    <row r="251" spans="1:49" s="1" customFormat="1" ht="13" x14ac:dyDescent="0.3">
      <c r="A251" s="30" t="s">
        <v>174</v>
      </c>
      <c r="B251" s="22" t="s">
        <v>174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</row>
    <row r="252" spans="1:49" s="1" customFormat="1" ht="13" x14ac:dyDescent="0.3">
      <c r="A252" s="30" t="s">
        <v>369</v>
      </c>
      <c r="B252" s="22" t="s">
        <v>369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</row>
    <row r="253" spans="1:49" s="1" customFormat="1" ht="13" x14ac:dyDescent="0.3">
      <c r="A253" s="30" t="s">
        <v>370</v>
      </c>
      <c r="B253" s="22" t="s">
        <v>370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</row>
    <row r="254" spans="1:49" s="1" customFormat="1" ht="13" x14ac:dyDescent="0.3">
      <c r="A254" s="30" t="s">
        <v>371</v>
      </c>
      <c r="B254" s="22" t="s">
        <v>371</v>
      </c>
      <c r="C254" s="3"/>
      <c r="D254" s="3"/>
      <c r="E254" s="3"/>
      <c r="F254" s="3"/>
      <c r="G254" s="3"/>
      <c r="H254" s="3"/>
      <c r="I254" s="3"/>
      <c r="J254" s="3"/>
      <c r="K254" s="3"/>
      <c r="L254" s="3">
        <v>1</v>
      </c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</row>
  </sheetData>
  <sortState xmlns:xlrd2="http://schemas.microsoft.com/office/spreadsheetml/2017/richdata2" ref="A1:GW254">
    <sortCondition ref="A1:A254"/>
  </sortState>
  <conditionalFormatting sqref="C1:AW254">
    <cfRule type="cellIs" dxfId="3" priority="1" operator="equal">
      <formula>4</formula>
    </cfRule>
    <cfRule type="cellIs" dxfId="2" priority="2" operator="equal">
      <formula>3</formula>
    </cfRule>
    <cfRule type="cellIs" dxfId="1" priority="3" operator="equal">
      <formula>2</formula>
    </cfRule>
    <cfRule type="cellIs" dxfId="0" priority="4" operator="equal">
      <formula>1</formula>
    </cfRule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94A6429341F04598532DFAEA220CE4" ma:contentTypeVersion="13" ma:contentTypeDescription="Create a new document." ma:contentTypeScope="" ma:versionID="0db0f60e27efbf256517272a09843d7a">
  <xsd:schema xmlns:xsd="http://www.w3.org/2001/XMLSchema" xmlns:xs="http://www.w3.org/2001/XMLSchema" xmlns:p="http://schemas.microsoft.com/office/2006/metadata/properties" xmlns:ns3="1b86f2b8-53b8-4531-90e4-97cf0a0e3e37" xmlns:ns4="181fa201-a2b8-4c90-81eb-049b6bbc723a" targetNamespace="http://schemas.microsoft.com/office/2006/metadata/properties" ma:root="true" ma:fieldsID="0188d6707cc266d6dde2a6cdf4cb59ef" ns3:_="" ns4:_="">
    <xsd:import namespace="1b86f2b8-53b8-4531-90e4-97cf0a0e3e37"/>
    <xsd:import namespace="181fa201-a2b8-4c90-81eb-049b6bbc723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86f2b8-53b8-4531-90e4-97cf0a0e3e3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1fa201-a2b8-4c90-81eb-049b6bbc72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9643EC-0BC3-4679-9E20-4F9457567CB3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terms/"/>
    <ds:schemaRef ds:uri="181fa201-a2b8-4c90-81eb-049b6bbc723a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86f2b8-53b8-4531-90e4-97cf0a0e3e37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E81994E-E685-45A0-81AE-25A9CA64A4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86f2b8-53b8-4531-90e4-97cf0a0e3e37"/>
    <ds:schemaRef ds:uri="181fa201-a2b8-4c90-81eb-049b6bbc72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6FD0D6-95CC-4B65-AB15-6C8A827908A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Operarios producción V1.00</vt:lpstr>
      <vt:lpstr>Operarios producción</vt:lpstr>
      <vt:lpstr>Hoja1</vt:lpstr>
      <vt:lpstr>'Operarios producción'!Print_Titles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Gracia, Alvaro</dc:creator>
  <cp:keywords/>
  <dc:description/>
  <cp:lastModifiedBy>Bustos, Daniel</cp:lastModifiedBy>
  <cp:revision/>
  <cp:lastPrinted>2026-02-12T11:11:37Z</cp:lastPrinted>
  <dcterms:created xsi:type="dcterms:W3CDTF">2020-03-31T18:12:11Z</dcterms:created>
  <dcterms:modified xsi:type="dcterms:W3CDTF">2026-04-29T14:18:52Z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0x010100EA94A6429341F04598532DFAEA220CE4</vt:lpwstr>
  </property>
</Properties>
</file>