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Training\"/>
    </mc:Choice>
  </mc:AlternateContent>
  <xr:revisionPtr revIDLastSave="0" documentId="13_ncr:1_{49E72004-E140-4EC7-B247-8BCE7D8EA577}" xr6:coauthVersionLast="47" xr6:coauthVersionMax="47" xr10:uidLastSave="{00000000-0000-0000-0000-000000000000}"/>
  <bookViews>
    <workbookView xWindow="-45105" yWindow="150" windowWidth="14610" windowHeight="15585" firstSheet="1" activeTab="1" xr2:uid="{99D3D415-75B1-45FF-A9DD-36F70A54E67C}"/>
  </bookViews>
  <sheets>
    <sheet name="Operarios producción V1.00" sheetId="2" state="hidden" r:id="rId1"/>
    <sheet name="Operarios producción" sheetId="4" r:id="rId2"/>
    <sheet name="Hoja1" sheetId="7" r:id="rId3"/>
  </sheets>
  <definedNames>
    <definedName name="_xlnm._FilterDatabase" localSheetId="1" hidden="1">'Operarios producción'!$A$3:$AY$368</definedName>
    <definedName name="_xlnm._FilterDatabase" localSheetId="0" hidden="1">'Operarios producción V1.00'!$A$1:$AC$1</definedName>
    <definedName name="_xlnm.Print_Titles" localSheetId="1">'Operarios producción'!$1:$3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" i="7" l="1"/>
  <c r="AY2" i="7" s="1"/>
  <c r="AX3" i="7"/>
  <c r="AY3" i="7" s="1"/>
  <c r="AX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tc={E2BE93AB-8F1F-4D9D-A2C4-77AEEC7A23E6}</author>
  </authors>
  <commentList>
    <comment ref="T81" authorId="0" shapeId="0" xr:uid="{E2BE93AB-8F1F-4D9D-A2C4-77AEEC7A23E6}">
      <text>
        <t>[Threaded comment]
Your version of Excel allows you to read this threaded comment; however, any edits to it will get removed if the file is opened in a newer version of Excel. Learn more: https://go.microsoft.com/fwlink/?linkid=870924
Comment:
    Sólo retros, alergia lacas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tc={C3722FC4-6782-403E-B4FC-1DA5E103C4F4}</author>
  </authors>
  <commentList>
    <comment ref="AB52" authorId="0" shapeId="0" xr:uid="{C3722FC4-6782-403E-B4FC-1DA5E103C4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ACTA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tc={C9AC2084-D459-4C1F-B2E7-E74EA9FFE0C8}</author>
  </authors>
  <commentList>
    <comment ref="AA31" authorId="0" shapeId="0" xr:uid="{C9AC2084-D459-4C1F-B2E7-E74EA9FFE0C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ACTA</t>
      </text>
    </comment>
  </commentList>
</comments>
</file>

<file path=xl/sharedStrings.xml><?xml version="1.0" encoding="utf-8"?>
<sst xmlns="http://schemas.openxmlformats.org/spreadsheetml/2006/main" count="1109" uniqueCount="468">
  <si>
    <t>Operario</t>
  </si>
  <si>
    <t>CONFIRM</t>
  </si>
  <si>
    <t>DIAG. ITE</t>
  </si>
  <si>
    <t>DIAG. BTE</t>
  </si>
  <si>
    <t>DIAG.FM/DWA</t>
  </si>
  <si>
    <t>REPAIR FM/DWA</t>
  </si>
  <si>
    <t>REPAIR BTE</t>
  </si>
  <si>
    <t>DIAG. SDS</t>
  </si>
  <si>
    <t>ORDER PRINT</t>
  </si>
  <si>
    <t>RSM</t>
  </si>
  <si>
    <t>KITTING CUSTOM</t>
  </si>
  <si>
    <t>KITTING      BTE</t>
  </si>
  <si>
    <t>DCC</t>
  </si>
  <si>
    <t>KIT      PREP.</t>
  </si>
  <si>
    <t>DLP</t>
  </si>
  <si>
    <t>CLOSING</t>
  </si>
  <si>
    <t>CUT &amp; TRIM</t>
  </si>
  <si>
    <t>F&amp;L</t>
  </si>
  <si>
    <t>VISUAL</t>
  </si>
  <si>
    <t>PRO&amp; GO</t>
  </si>
  <si>
    <t>PACKING</t>
  </si>
  <si>
    <t>RUN</t>
  </si>
  <si>
    <t>MECANIZADO (MOLDES DINAMARCA)</t>
  </si>
  <si>
    <t>MECANIZADO (IMPRESIONES DINAMARCA)</t>
  </si>
  <si>
    <t>MECANIZADO (BIOPOR  ESPAÑA)</t>
  </si>
  <si>
    <t>MECANIZADO (BAÑO ESPAÑA)</t>
  </si>
  <si>
    <t>MUFLAS (DINAMARCA)</t>
  </si>
  <si>
    <t>MUFLAS (BIOPOR ESPAÑA)</t>
  </si>
  <si>
    <t>MUFLAS (BAÑO ESPAÑA)</t>
  </si>
  <si>
    <t>Versión: 1.00</t>
  </si>
  <si>
    <t>Fecha: 14/04/2020</t>
  </si>
  <si>
    <t>ABEL VILLALBA</t>
  </si>
  <si>
    <t>LEYENDA</t>
  </si>
  <si>
    <t>ABEL ZARAGOZA</t>
  </si>
  <si>
    <t>AINHOA MARTINEZ</t>
  </si>
  <si>
    <t>Formado</t>
  </si>
  <si>
    <t>Está formado pero no hace habitualmente el puesto.</t>
  </si>
  <si>
    <t>ALBERTO MANZANO</t>
  </si>
  <si>
    <t>ALEJANDRO BLAZQUEZ</t>
  </si>
  <si>
    <t>Habitualmente en el puesto</t>
  </si>
  <si>
    <t>ALEJANDRO LÚCIA</t>
  </si>
  <si>
    <t>ALEJANDRO SOLER</t>
  </si>
  <si>
    <t>Experto</t>
  </si>
  <si>
    <t>Puede apoyar en momentos de necesidad a formar a otros colaboradores bajo la supervisión de la responsable de formación</t>
  </si>
  <si>
    <t>ALFONSO GIMENEZ</t>
  </si>
  <si>
    <t>ALICIA PÉREZ</t>
  </si>
  <si>
    <t>En formación</t>
  </si>
  <si>
    <t>Es actualmento en formación. En Supervisión/evaluación</t>
  </si>
  <si>
    <t>ANA MARTÍNEZ</t>
  </si>
  <si>
    <t>ANDRÉS GUTIERREZ</t>
  </si>
  <si>
    <t>ANDRÉS REVILLA</t>
  </si>
  <si>
    <t>ANTON PEREGUDA</t>
  </si>
  <si>
    <t>ANTONIA JARA</t>
  </si>
  <si>
    <t>ANTONIO BAEZA</t>
  </si>
  <si>
    <t>ANTONIO MIRAVETE</t>
  </si>
  <si>
    <t>ANTONIO MOHEDANO</t>
  </si>
  <si>
    <t>ANTONIO MOLINA</t>
  </si>
  <si>
    <t>ASCENSIÓN GELARDO</t>
  </si>
  <si>
    <t>ASUNCION PATIÑO</t>
  </si>
  <si>
    <t>AZUCENA BEVIA</t>
  </si>
  <si>
    <t>BEGOÑA PICAZO</t>
  </si>
  <si>
    <t>CARLOS MELGAREJO</t>
  </si>
  <si>
    <t>CELIA CASES</t>
  </si>
  <si>
    <t>CHARI SOLER</t>
  </si>
  <si>
    <t>CLARA SERRANO</t>
  </si>
  <si>
    <t>CONCHI SOLER</t>
  </si>
  <si>
    <t>CRISTIAN MORCILLO</t>
  </si>
  <si>
    <t>DANIEL BUSTOS</t>
  </si>
  <si>
    <t>DAVID AMORRICH</t>
  </si>
  <si>
    <t>DAVID ARELLANO</t>
  </si>
  <si>
    <t>DAVID PEÑALVER</t>
  </si>
  <si>
    <t>EDUARDO CORONADO</t>
  </si>
  <si>
    <t>EDUARDO MARTÍNEZ</t>
  </si>
  <si>
    <t>EMILIA PUJALTE</t>
  </si>
  <si>
    <t>ENRIQUE ESTEVE</t>
  </si>
  <si>
    <t>ERIZ ESTALRICH</t>
  </si>
  <si>
    <t>FERMIN MOLINA</t>
  </si>
  <si>
    <t>FERNANDO ASENSI</t>
  </si>
  <si>
    <t>FRAN ALONSO</t>
  </si>
  <si>
    <t>FRANCISCO JAVIER CERDÁN</t>
  </si>
  <si>
    <t>FRANCISCO LOSA</t>
  </si>
  <si>
    <t>FRANCISCO TARI</t>
  </si>
  <si>
    <t>GERMAN GARCÍA</t>
  </si>
  <si>
    <t>HECTOR CABALLERO</t>
  </si>
  <si>
    <t>INMACULADA INIESTA</t>
  </si>
  <si>
    <t>ISMAEL ESCRIBANO</t>
  </si>
  <si>
    <t>ISMAEL MARTÍNEZ</t>
  </si>
  <si>
    <t>IVAN ALBEROLA</t>
  </si>
  <si>
    <t>IVAN DOMENECH</t>
  </si>
  <si>
    <t>JAVIER FAZZOLARI</t>
  </si>
  <si>
    <t>JEAN PIERRE RENARD</t>
  </si>
  <si>
    <t>JONATAN MERCADO</t>
  </si>
  <si>
    <t>JORGE SANCHEZ</t>
  </si>
  <si>
    <t>JOSE AGUSTÍN CANTÓ</t>
  </si>
  <si>
    <t>JOSE ANTONIO AGUILAR</t>
  </si>
  <si>
    <t>JOSE DAVID DOMENECH</t>
  </si>
  <si>
    <t>JOSE LUIS GARCIA</t>
  </si>
  <si>
    <t>JOSE LUIS GIL</t>
  </si>
  <si>
    <t>JOSE M. MATARREDONA</t>
  </si>
  <si>
    <t>JOSE MANUEL BAEZA</t>
  </si>
  <si>
    <t>JOSE MANUEL PARRES</t>
  </si>
  <si>
    <t>JOSE MARIA TOMAS</t>
  </si>
  <si>
    <t>JUAN ANTONIO RUFETE</t>
  </si>
  <si>
    <t>JUAN JOSE RODRIGUEZ</t>
  </si>
  <si>
    <t>JUAN MANUEL MILLA</t>
  </si>
  <si>
    <t>JUAN ÑIGUEZ</t>
  </si>
  <si>
    <t>JULIO CESAR AUCENON</t>
  </si>
  <si>
    <t>LAURA FERNÁNDEZ</t>
  </si>
  <si>
    <t>LAURA VERDU</t>
  </si>
  <si>
    <t>LINA VALENCIA</t>
  </si>
  <si>
    <t>LOLA MERCADO</t>
  </si>
  <si>
    <t>LOLI JIMÉNEZ</t>
  </si>
  <si>
    <t>LOLI ORTEGA</t>
  </si>
  <si>
    <t>LORENA LOPEZ</t>
  </si>
  <si>
    <t>LORENA TORÁ</t>
  </si>
  <si>
    <t>LOURDES NUÑEZ</t>
  </si>
  <si>
    <t>LUIS MATEO</t>
  </si>
  <si>
    <t>Mª ANGELES RIQUELME</t>
  </si>
  <si>
    <t>Mª JOSE LLORCA</t>
  </si>
  <si>
    <t>Mª JOSE ORTUÑO</t>
  </si>
  <si>
    <t>Mª MAR SERRANO</t>
  </si>
  <si>
    <t>MARCELO CAMARGO</t>
  </si>
  <si>
    <t>MARCOS GARCIA</t>
  </si>
  <si>
    <t>MARGARITA GONZALEZ</t>
  </si>
  <si>
    <t>MARGARITA ROMERO</t>
  </si>
  <si>
    <t>MARIA CANCHO</t>
  </si>
  <si>
    <t>MARIA SANZ</t>
  </si>
  <si>
    <t>MARIOLA BELMONTE</t>
  </si>
  <si>
    <t>MARISOL RICO</t>
  </si>
  <si>
    <t>MELANIA GORDO</t>
  </si>
  <si>
    <t>MIGUEL CLIMENT</t>
  </si>
  <si>
    <t>MONICA MASEGOSA</t>
  </si>
  <si>
    <t>NASSAR AZMI</t>
  </si>
  <si>
    <t>NATALIA PASTOR</t>
  </si>
  <si>
    <t>NEREA CHAVES</t>
  </si>
  <si>
    <t>NOEL SEABRA</t>
  </si>
  <si>
    <t>OTILIA SIMARRO</t>
  </si>
  <si>
    <t>PABLO TORRENTE</t>
  </si>
  <si>
    <t>PACO CASTELLÓ</t>
  </si>
  <si>
    <t>PALOMA IVORRA</t>
  </si>
  <si>
    <t>PAMELA MODINO</t>
  </si>
  <si>
    <t>PATRICIA GOMIS</t>
  </si>
  <si>
    <t>PEDRO MANUEL ANDREU</t>
  </si>
  <si>
    <t>PEDRO VIVES</t>
  </si>
  <si>
    <t>RAQUEL BERNABEU</t>
  </si>
  <si>
    <t>RASHID ABDESELAM</t>
  </si>
  <si>
    <t>RAUL ESCUDERO</t>
  </si>
  <si>
    <t>ROBERTO GIL</t>
  </si>
  <si>
    <t>ROBERTO LARRIBA</t>
  </si>
  <si>
    <t>ROCÍO RUIZ</t>
  </si>
  <si>
    <t>ROSA CEREZO</t>
  </si>
  <si>
    <t>ROSA SERRAIMA</t>
  </si>
  <si>
    <t>SAMUEL TORO</t>
  </si>
  <si>
    <t>SANDRA MORA</t>
  </si>
  <si>
    <t>SANDRO BAÑEGIL</t>
  </si>
  <si>
    <t>SAUL SANTOS</t>
  </si>
  <si>
    <t>SERGIO GARCÍA</t>
  </si>
  <si>
    <t>SILVESTRE BOTELLA</t>
  </si>
  <si>
    <t>SILVIA MORATALLA</t>
  </si>
  <si>
    <t>SILVIA SABATER</t>
  </si>
  <si>
    <t>SILVIA SAENZ</t>
  </si>
  <si>
    <t>SONIA CARRETERO</t>
  </si>
  <si>
    <t>SONIA CLIMENT</t>
  </si>
  <si>
    <t>SONIA GALLARDO</t>
  </si>
  <si>
    <t>SONIA TARÍ</t>
  </si>
  <si>
    <t>SONIA TARRAGA</t>
  </si>
  <si>
    <t>TOMÁS ARELLANO</t>
  </si>
  <si>
    <t>VERONICA ESCOBAR</t>
  </si>
  <si>
    <t>VERONICA GOMEZ</t>
  </si>
  <si>
    <t>VICKY SIRVENT</t>
  </si>
  <si>
    <t>VITALII PALAMARCHUK</t>
  </si>
  <si>
    <t>YESSICA ORTIZ</t>
  </si>
  <si>
    <t>YOLANDA CÁRCELES</t>
  </si>
  <si>
    <t>YOLANDA GARNERO</t>
  </si>
  <si>
    <t>YOLANDA LOZANO</t>
  </si>
  <si>
    <t>RCSE Matriz de Polivalencia Operarios producción</t>
  </si>
  <si>
    <t>OPEN MAIL</t>
  </si>
  <si>
    <t>ORDER ENTRY SERVICE</t>
  </si>
  <si>
    <t>ORDER ENTRY NEW</t>
  </si>
  <si>
    <t>DIAG. ITE SAF</t>
  </si>
  <si>
    <t>DIAG. SDS SAF</t>
  </si>
  <si>
    <t>DIAG. TITANIUM</t>
  </si>
  <si>
    <t>REPAIR CARGADORES</t>
  </si>
  <si>
    <t>MINI-KITTING</t>
  </si>
  <si>
    <t>KITTING BTE</t>
  </si>
  <si>
    <t>KIT PREP. SDS</t>
  </si>
  <si>
    <t>CLOSING SDS</t>
  </si>
  <si>
    <t>KIT PREP. ITE</t>
  </si>
  <si>
    <t>CLOSING ITE</t>
  </si>
  <si>
    <t>TITANIUM</t>
  </si>
  <si>
    <t>VISUAL ITE</t>
  </si>
  <si>
    <t>VISUAL SDS</t>
  </si>
  <si>
    <t>VISUAL BTE</t>
  </si>
  <si>
    <t>VISUAL FM/DWA</t>
  </si>
  <si>
    <t>PRO&amp; GO ITE</t>
  </si>
  <si>
    <t>PRO&amp; GO SDS</t>
  </si>
  <si>
    <t>PRO&amp; GO BTE</t>
  </si>
  <si>
    <t xml:space="preserve">PRO &amp; GO FM/DWA </t>
  </si>
  <si>
    <t>PACKING SERVICE</t>
  </si>
  <si>
    <t>PACKING NEW</t>
  </si>
  <si>
    <t>RPM-Desmontaje y limpieza</t>
  </si>
  <si>
    <t>RPM-IRS1 Identificación e Inicialización</t>
  </si>
  <si>
    <t>RPM-LPS2 Bluetooth</t>
  </si>
  <si>
    <t>RPM-Visual y SNW2</t>
  </si>
  <si>
    <t>ACS2</t>
  </si>
  <si>
    <t>Sorting</t>
  </si>
  <si>
    <t>Refurbishing</t>
  </si>
  <si>
    <t>Reprocessing cargadores</t>
  </si>
  <si>
    <t>Packing RPM/Refurbishing</t>
  </si>
  <si>
    <t>ABEL GISBERT</t>
  </si>
  <si>
    <t>ADRIÁN BORDEA</t>
  </si>
  <si>
    <t>ADRIÁN GÓMEZ</t>
  </si>
  <si>
    <t>ADRIANA JEREZ</t>
  </si>
  <si>
    <t>ÁFRICA GARCÍA</t>
  </si>
  <si>
    <t>AINARA FUENTES</t>
  </si>
  <si>
    <t>AINHOA ESPARCIA</t>
  </si>
  <si>
    <t>AINHOA SOLER</t>
  </si>
  <si>
    <t>ALBA ROSA MARTÍNEZ</t>
  </si>
  <si>
    <t>ALBA SÁNCHEZ</t>
  </si>
  <si>
    <t>ALBERTO MOLERO</t>
  </si>
  <si>
    <t>ALEJANDRA MASCARELL</t>
  </si>
  <si>
    <t>ALEJANDRO ARIZA</t>
  </si>
  <si>
    <t>ALEJANDRO MEDINA</t>
  </si>
  <si>
    <t>ALEJANDRO RICO</t>
  </si>
  <si>
    <t>ALEXANDRA CASTELLANO</t>
  </si>
  <si>
    <t>ALEXANDRA SOLA</t>
  </si>
  <si>
    <t>ALEXANDRA WIZNER</t>
  </si>
  <si>
    <t>ANA BELÉN CARRIÓN</t>
  </si>
  <si>
    <t>ANA BELÉN MARTÍNEZ</t>
  </si>
  <si>
    <t>ANA Mª ARELLANO</t>
  </si>
  <si>
    <t>ANA Mª BAÑO</t>
  </si>
  <si>
    <t>ANDREA BENÍTEZ</t>
  </si>
  <si>
    <t>ÁNGEL MARTÍNEZ</t>
  </si>
  <si>
    <t>ÁNGELA FUENTES</t>
  </si>
  <si>
    <t>ANNY DUMÁN</t>
  </si>
  <si>
    <t>ANTONIO ARQUERO</t>
  </si>
  <si>
    <t>ANTONIO MANZANARO</t>
  </si>
  <si>
    <t>ARANTXA ORDÓÑEZ</t>
  </si>
  <si>
    <t xml:space="preserve">ARANTZAZU CANO </t>
  </si>
  <si>
    <t>AURELIO MARÍN</t>
  </si>
  <si>
    <t>AXEL DE LA PUENTE</t>
  </si>
  <si>
    <t>BEATRIZ GARCÍA</t>
  </si>
  <si>
    <t>BEGOÑA DEL RIO</t>
  </si>
  <si>
    <t>BELÉN GINER</t>
  </si>
  <si>
    <t>BRUNO GUILLÉN</t>
  </si>
  <si>
    <t>CARLA REINA</t>
  </si>
  <si>
    <t>CARLOTA CORRAL</t>
  </si>
  <si>
    <t>CARMEN LLEDÓ</t>
  </si>
  <si>
    <t>CÉSAR ORDAX</t>
  </si>
  <si>
    <t>CONCHI GALLUD</t>
  </si>
  <si>
    <t>CRISTINA CERRO</t>
  </si>
  <si>
    <t>CRISTINA GARCÍA</t>
  </si>
  <si>
    <t>DANIEL ALBERO</t>
  </si>
  <si>
    <t>DANIEL MOLINA</t>
  </si>
  <si>
    <t>DANIELA ALVAREZ</t>
  </si>
  <si>
    <t>DANIELA LUCERO</t>
  </si>
  <si>
    <t>DAVID JIMÉNEZ</t>
  </si>
  <si>
    <t>DAYANA SUÁREZ</t>
  </si>
  <si>
    <t>ELIAN CANTÓ</t>
  </si>
  <si>
    <t>EMMA AZORÍN</t>
  </si>
  <si>
    <t>ENRIQUE TOMÁS</t>
  </si>
  <si>
    <t>ESTEFANÍA MURCIA</t>
  </si>
  <si>
    <t>ESTHER MOLINA</t>
  </si>
  <si>
    <t>EVA FERRI</t>
  </si>
  <si>
    <t>EVA Mª LLORENS</t>
  </si>
  <si>
    <t>FADOUA MOUHOUCHT</t>
  </si>
  <si>
    <t>FRANCISCO ANTÓN</t>
  </si>
  <si>
    <t>FRANCISCO CALZADA</t>
  </si>
  <si>
    <t>GEMA PENALVA</t>
  </si>
  <si>
    <t>GERMAN VILLAREAL</t>
  </si>
  <si>
    <t>HECTOR GIRÓN</t>
  </si>
  <si>
    <t>IGOR ANDRÉS SANTOS</t>
  </si>
  <si>
    <t>IRATXE CUESTA</t>
  </si>
  <si>
    <t>ISABEL GONZÁLEZ</t>
  </si>
  <si>
    <t>ISABEL HIDALGO</t>
  </si>
  <si>
    <t>ISABEL MORENO</t>
  </si>
  <si>
    <t>ISRAEL GARCÍA</t>
  </si>
  <si>
    <t>IVAN MIRAVETE</t>
  </si>
  <si>
    <t>IVÁN PICÓ</t>
  </si>
  <si>
    <t>IVANKA CAÑIZARES</t>
  </si>
  <si>
    <t>JENNIFER MAREK</t>
  </si>
  <si>
    <t>JESSICA GARCIA</t>
  </si>
  <si>
    <t>JESUS CARRILLO</t>
  </si>
  <si>
    <t>JOAQUÍN GARCÍA</t>
  </si>
  <si>
    <t>JONATHAN SEMPERE</t>
  </si>
  <si>
    <t xml:space="preserve">JOSE MIGUEL MARTÍNEZ </t>
  </si>
  <si>
    <t>JULIÁN RAMÓN</t>
  </si>
  <si>
    <t>LAURA MORENO</t>
  </si>
  <si>
    <t>LAURA MUÑOZ</t>
  </si>
  <si>
    <t>LORENA ÁLVAREZ</t>
  </si>
  <si>
    <t>LUIS SUAREZ</t>
  </si>
  <si>
    <t>M ÁNGELES ABRIL</t>
  </si>
  <si>
    <t>Mª ÁNGELES RODRÍGUEZ</t>
  </si>
  <si>
    <t>Mª CARMEN GONZÁLEZ</t>
  </si>
  <si>
    <t>Mª CARMEN JIMÉNEZ</t>
  </si>
  <si>
    <t>Mª CARMEN SALVÁ</t>
  </si>
  <si>
    <t>Mª CARMEN SÁNCHEZ</t>
  </si>
  <si>
    <t>Mª JOSÉ FRUCTUOSO</t>
  </si>
  <si>
    <t>Mª JOSÉ LLORCA</t>
  </si>
  <si>
    <t>Mª JOSÉ ORTUÑO</t>
  </si>
  <si>
    <t>Mª LUISA VILLORA</t>
  </si>
  <si>
    <t>Mª TERESA TUDELA</t>
  </si>
  <si>
    <t>MAIRA ATLANTE</t>
  </si>
  <si>
    <t>MANUELA MARTINEZ</t>
  </si>
  <si>
    <t>MAR DE LAS ERAS</t>
  </si>
  <si>
    <t>MARCOS OLIVEROS</t>
  </si>
  <si>
    <t>MARÍA CABALLERO</t>
  </si>
  <si>
    <t>MARIA JOSE ANTUNES</t>
  </si>
  <si>
    <t>MARIANO FAZZOLARI</t>
  </si>
  <si>
    <t>MARINA LOZANO</t>
  </si>
  <si>
    <t>MARINA MAS</t>
  </si>
  <si>
    <t>MARINA PEREZ</t>
  </si>
  <si>
    <t>MARIO LLORENTE</t>
  </si>
  <si>
    <t>MARTA GARCÍA</t>
  </si>
  <si>
    <t>MAURO LUCAS</t>
  </si>
  <si>
    <t>MELANIA POZO</t>
  </si>
  <si>
    <t>MERCEDES CASTRO</t>
  </si>
  <si>
    <t>MIKEL MENO</t>
  </si>
  <si>
    <t>MIRIAM GARCÍA</t>
  </si>
  <si>
    <t>MIRIAM LUCAS</t>
  </si>
  <si>
    <t>MÓNICA MASEGOSA</t>
  </si>
  <si>
    <t>MÓNICA PÉREZ</t>
  </si>
  <si>
    <t>NOELIA GUILLÉN</t>
  </si>
  <si>
    <t>NOELIA RUEDA</t>
  </si>
  <si>
    <t>NURIA HERNÁNDEZ</t>
  </si>
  <si>
    <t>ÓSCAR PASCUAL</t>
  </si>
  <si>
    <t>PATRICIA MANTECA</t>
  </si>
  <si>
    <t>PATRICIA RODRIGUEZ</t>
  </si>
  <si>
    <t>PURI CAZORLA</t>
  </si>
  <si>
    <t>RAFAEL LÓPEZ</t>
  </si>
  <si>
    <t>RAFAEL MEDRANO</t>
  </si>
  <si>
    <t>REBECA GUILLÉN</t>
  </si>
  <si>
    <t>RICARDO CAICEDO</t>
  </si>
  <si>
    <t>RICARDO VILAPLANA</t>
  </si>
  <si>
    <t>ROCÍO MARTÍNEZ</t>
  </si>
  <si>
    <t>ROGER POSS</t>
  </si>
  <si>
    <t>SANDRA ARIAS</t>
  </si>
  <si>
    <t>SANDRA DOMENECH</t>
  </si>
  <si>
    <t>SANDRA HEREDIA</t>
  </si>
  <si>
    <t>SANDRA WIZNER</t>
  </si>
  <si>
    <t>SARA BERNABEU</t>
  </si>
  <si>
    <t>SARA CABEZA</t>
  </si>
  <si>
    <t>SARA MESA</t>
  </si>
  <si>
    <t>SARA SÁNCHEZ</t>
  </si>
  <si>
    <t>SARAY DOMENECH</t>
  </si>
  <si>
    <t>SILVIA IVORRA</t>
  </si>
  <si>
    <t>SILVIA SABATELL</t>
  </si>
  <si>
    <t>SOLEDAD GONZALEZ</t>
  </si>
  <si>
    <t>SOUKAINA DAIF</t>
  </si>
  <si>
    <t>STEFANIA ZAMORA</t>
  </si>
  <si>
    <t>TANIA MARTÍNEZ</t>
  </si>
  <si>
    <t>TANIA SÁEZ</t>
  </si>
  <si>
    <t>TERESA FERNANDEZ</t>
  </si>
  <si>
    <t>TERESA SCALA</t>
  </si>
  <si>
    <t>TIFFANY MENJIBAR</t>
  </si>
  <si>
    <t>VALERIA LESCANO</t>
  </si>
  <si>
    <t>VANESA ALEMANY</t>
  </si>
  <si>
    <t>VANESA GUAIMARE</t>
  </si>
  <si>
    <t>VANESA IVORRA</t>
  </si>
  <si>
    <t>VANESA SÁNCHEZ</t>
  </si>
  <si>
    <t>VERONICA GARRIGÓS</t>
  </si>
  <si>
    <t>VERONICA GÓMEZ</t>
  </si>
  <si>
    <t>VICENTE CAMPELLO</t>
  </si>
  <si>
    <t>VICTOR FERNÁNDEZ</t>
  </si>
  <si>
    <t>VÍCTOR GAUCHIA</t>
  </si>
  <si>
    <t>VICTORIA CARTAGENA</t>
  </si>
  <si>
    <t>YAIZA LAORDEN</t>
  </si>
  <si>
    <t>YESSICA CHACING</t>
  </si>
  <si>
    <t>YOLANDA CÁNOVAS</t>
  </si>
  <si>
    <t>YOLANDA ZAMORA</t>
  </si>
  <si>
    <t>ZAIRA MANGAS</t>
  </si>
  <si>
    <t>ZAIRA MONTERO</t>
  </si>
  <si>
    <t>Mª LUISA FLORES</t>
  </si>
  <si>
    <t>YESSICA CHACIN</t>
  </si>
  <si>
    <t>BLANCA MORA</t>
  </si>
  <si>
    <t>ANA Mº GUILLÉN</t>
  </si>
  <si>
    <t>EVA CRISTINA MOYA</t>
  </si>
  <si>
    <t>INMACULADA RUIZ</t>
  </si>
  <si>
    <t>JOSÉ MIGUEL MARTÍNEZ</t>
  </si>
  <si>
    <t>MARÍA RESINA</t>
  </si>
  <si>
    <t>FRANCISCO LÓPEZ</t>
  </si>
  <si>
    <t>VERÓNICA MONTERO</t>
  </si>
  <si>
    <t>VERÓNICA MUDARRA</t>
  </si>
  <si>
    <t>AINARA PORRAS</t>
  </si>
  <si>
    <t>JOSÉ MARCH</t>
  </si>
  <si>
    <t>VANESA LÓPEZ</t>
  </si>
  <si>
    <t>CELIA GARCÍA</t>
  </si>
  <si>
    <t>ERIKA TATIANA QUEMBA</t>
  </si>
  <si>
    <t>ISABEL FERRER</t>
  </si>
  <si>
    <t>PILAR VALLE</t>
  </si>
  <si>
    <t>SARA ISABEL AGRA</t>
  </si>
  <si>
    <t>NAIRA GARCÍA</t>
  </si>
  <si>
    <t>EDURNE MARTÍNEZ</t>
  </si>
  <si>
    <t>RAQUEL VILA</t>
  </si>
  <si>
    <t>MIRIAM CAMPAYO</t>
  </si>
  <si>
    <t>YAIZA TORIO</t>
  </si>
  <si>
    <t>SARAY ABELLÁN</t>
  </si>
  <si>
    <t>TRESA Bloque 1</t>
  </si>
  <si>
    <t>TRESA Bloque 2</t>
  </si>
  <si>
    <t>ABIGAIL GONZÁLEZ</t>
  </si>
  <si>
    <t>LOURDES PASTOR</t>
  </si>
  <si>
    <t>BELÉN GONZÁLEZ</t>
  </si>
  <si>
    <t>AINHOA ABELLÁN</t>
  </si>
  <si>
    <t>MIRIAM ALEMÁN</t>
  </si>
  <si>
    <t>LORENZO FERRÁNDIZ</t>
  </si>
  <si>
    <t>JULIANA PACHECO</t>
  </si>
  <si>
    <t>NEREA LEÓN</t>
  </si>
  <si>
    <t>NIEVES MIRA</t>
  </si>
  <si>
    <t>MARÍA ALBERTOS</t>
  </si>
  <si>
    <t>RAQUEL RUIZ</t>
  </si>
  <si>
    <t>FRANCISCA FERNÁNDEZ</t>
  </si>
  <si>
    <t>MANUEL ARÉVALO</t>
  </si>
  <si>
    <t>CAROLINA SÁNCHEZ</t>
  </si>
  <si>
    <t>DANIELA CONSTANZA</t>
  </si>
  <si>
    <t>ARANTXA MARTÍNEZ</t>
  </si>
  <si>
    <t>LEONARDO ARQUES</t>
  </si>
  <si>
    <t>BULK</t>
  </si>
  <si>
    <t>JENIFFER CAAMAÑO</t>
  </si>
  <si>
    <t>SABRINA RODRÍGUEZ</t>
  </si>
  <si>
    <t>CARMEN CASTILLO</t>
  </si>
  <si>
    <t>NORA SAVALL</t>
  </si>
  <si>
    <t>MÓNICA GALIANA</t>
  </si>
  <si>
    <t>LESLIE FERNÁNDEZ</t>
  </si>
  <si>
    <t>ZAHIRA ESCRIBANO</t>
  </si>
  <si>
    <t>LUZ DELGADO</t>
  </si>
  <si>
    <t>ADELA RODRÍGUEZ</t>
  </si>
  <si>
    <t>ALEJANDRA RODRÍGUEZ</t>
  </si>
  <si>
    <t>SORENY PAZ</t>
  </si>
  <si>
    <t>IRENE IBÁÑEZ</t>
  </si>
  <si>
    <t>SONIA VILLALBA</t>
  </si>
  <si>
    <t>DIEGO ELLES</t>
  </si>
  <si>
    <t>ÁNGEL RAMÍREZ</t>
  </si>
  <si>
    <t>IAN SALORT</t>
  </si>
  <si>
    <t>JOSE MARTÍN</t>
  </si>
  <si>
    <t>MARÍA MACIAS</t>
  </si>
  <si>
    <t>ANA RUÍZ</t>
  </si>
  <si>
    <t>DANIELA GÓMEZ</t>
  </si>
  <si>
    <t>BEGOÑA GODOY</t>
  </si>
  <si>
    <t>ANTONELLA NOCCIOLINO</t>
  </si>
  <si>
    <t>ADRIÁN  MOLINA</t>
  </si>
  <si>
    <t>BORJA SERRANO</t>
  </si>
  <si>
    <t>DIANA MOROCHO</t>
  </si>
  <si>
    <t>ANA Mª ORTUÑO PUCHE</t>
  </si>
  <si>
    <t>ALEXANDRA CORDÓN</t>
  </si>
  <si>
    <t>BEATRIZ GALIANA</t>
  </si>
  <si>
    <t>ELIZABETH MALDONADO</t>
  </si>
  <si>
    <t>CRISTINA DE LA HUERGA</t>
  </si>
  <si>
    <t>LORENA GOMIS</t>
  </si>
  <si>
    <t>MARINA PERTINI</t>
  </si>
  <si>
    <t>YOLANDA PASTOR</t>
  </si>
  <si>
    <t>SANDRA ANDRÉS</t>
  </si>
  <si>
    <t>CAROLINA BLANCO</t>
  </si>
  <si>
    <t>ANA JULIA CHOPERENA</t>
  </si>
  <si>
    <t>SARA HERNÁNDEZ</t>
  </si>
  <si>
    <t>CRISTIAN MOLINA</t>
  </si>
  <si>
    <t>ELEONORA MITTICA</t>
  </si>
  <si>
    <t>Mª FE ORTEGA</t>
  </si>
  <si>
    <t>LAURA ALCARAZ</t>
  </si>
  <si>
    <t>DIANA MARCELA</t>
  </si>
  <si>
    <t>Mª DEL MAR PACHO</t>
  </si>
  <si>
    <t>AITOR BORRÁS</t>
  </si>
  <si>
    <t>LUIS ENRIQUE CAICEDO</t>
  </si>
  <si>
    <t>NOELIA ESTEVE</t>
  </si>
  <si>
    <t>NEREIDA SÁNCHEZ</t>
  </si>
  <si>
    <t>JONATHAN FABIÁN SÁNCHEZ</t>
  </si>
  <si>
    <t>RAÚL AVILÉS</t>
  </si>
  <si>
    <t>EDUARDO PAREDES</t>
  </si>
  <si>
    <t>RPM-Descontaminación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</si>
</sst>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indexed="8"/>
      <name val="Arial"/>
      <family val="2"/>
    </font>
    <font>
      <sz val="9"/>
      <color theme="1"/>
      <name val="Calibri"/>
      <family val="2"/>
      <scheme val="minor"/>
    </font>
    <font>
      <b/>
      <u/>
      <sz val="10"/>
      <color indexed="8"/>
      <name val="Arial"/>
      <family val="2"/>
    </font>
    <font>
      <b/>
      <sz val="10"/>
      <name val="Arial"/>
      <family val="2"/>
    </font>
    <font>
      <b/>
      <sz val="8"/>
      <color theme="1"/>
      <name val="Calibri"/>
      <family val="2"/>
      <scheme val="minor"/>
    </font>
    <font>
      <b/>
      <sz val="18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1" fillId="0" borderId="0" xfId="1"/>
    <xf numFmtId="0" fontId="3" fillId="2" borderId="1" xfId="0" applyFont="1" applyFill="1" applyBorder="1"/>
    <xf numFmtId="0" fontId="3" fillId="0" borderId="1" xfId="0" applyFont="1" applyBorder="1" applyAlignment="1">
      <alignment horizontal="center"/>
    </xf>
    <xf numFmtId="0" fontId="4" fillId="0" borderId="0" xfId="1" applyFont="1"/>
    <xf numFmtId="0" fontId="5" fillId="0" borderId="0" xfId="0" applyFont="1"/>
    <xf numFmtId="0" fontId="5" fillId="3" borderId="0" xfId="0" applyFont="1" applyFill="1"/>
    <xf numFmtId="0" fontId="5" fillId="4" borderId="0" xfId="0" applyFont="1" applyFill="1"/>
    <xf numFmtId="0" fontId="3" fillId="5" borderId="1" xfId="0" applyFont="1" applyFill="1" applyBorder="1"/>
    <xf numFmtId="0" fontId="5" fillId="6" borderId="0" xfId="0" applyFont="1" applyFill="1"/>
    <xf numFmtId="0" fontId="6" fillId="0" borderId="0" xfId="1" applyFont="1" applyAlignment="1">
      <alignment horizontal="left" vertical="center"/>
    </xf>
    <xf numFmtId="0" fontId="3" fillId="7" borderId="1" xfId="0" applyFont="1" applyFill="1" applyBorder="1"/>
    <xf numFmtId="0" fontId="3" fillId="8" borderId="1" xfId="0" applyFont="1" applyFill="1" applyBorder="1"/>
    <xf numFmtId="0" fontId="5" fillId="9" borderId="0" xfId="0" applyFont="1" applyFill="1"/>
    <xf numFmtId="14" fontId="7" fillId="0" borderId="0" xfId="1" applyNumberFormat="1" applyFont="1"/>
    <xf numFmtId="0" fontId="7" fillId="0" borderId="0" xfId="1" applyFont="1"/>
    <xf numFmtId="0" fontId="3" fillId="10" borderId="1" xfId="0" applyFont="1" applyFill="1" applyBorder="1"/>
    <xf numFmtId="0" fontId="3" fillId="11" borderId="1" xfId="0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/>
    <xf numFmtId="0" fontId="3" fillId="0" borderId="3" xfId="0" applyFont="1" applyBorder="1" applyAlignment="1">
      <alignment horizontal="center"/>
    </xf>
    <xf numFmtId="0" fontId="8" fillId="0" borderId="2" xfId="0" applyFont="1" applyBorder="1" applyAlignment="1">
      <alignment horizontal="center" vertical="center" textRotation="90" wrapText="1"/>
    </xf>
    <xf numFmtId="0" fontId="3" fillId="9" borderId="1" xfId="0" applyFont="1" applyFill="1" applyBorder="1"/>
    <xf numFmtId="0" fontId="3" fillId="9" borderId="3" xfId="0" applyFont="1" applyFill="1" applyBorder="1"/>
    <xf numFmtId="0" fontId="3" fillId="9" borderId="1" xfId="0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0" fontId="3" fillId="0" borderId="3" xfId="0" applyFont="1" applyBorder="1"/>
    <xf numFmtId="0" fontId="3" fillId="0" borderId="1" xfId="0" applyFont="1" applyBorder="1"/>
    <xf numFmtId="0" fontId="1" fillId="0" borderId="1" xfId="1" applyBorder="1"/>
    <xf numFmtId="0" fontId="5" fillId="0" borderId="1" xfId="0" applyFont="1" applyBorder="1"/>
    <xf numFmtId="0" fontId="3" fillId="0" borderId="1" xfId="0" applyFont="1" applyBorder="1" applyAlignment="1">
      <alignment wrapText="1"/>
    </xf>
    <xf numFmtId="0" fontId="5" fillId="0" borderId="3" xfId="0" applyFont="1" applyBorder="1"/>
    <xf numFmtId="0" fontId="6" fillId="0" borderId="1" xfId="1" applyFont="1" applyBorder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9" fillId="0" borderId="4" xfId="0" applyFont="1" applyBorder="1" applyAlignment="1">
      <alignment horizontal="center" vertical="center"/>
    </xf>
    <xf numFmtId="0" fontId="1" fillId="0" borderId="0" xfId="1" applyAlignment="1">
      <alignment horizontal="left"/>
    </xf>
  </cellXfs>
  <cellStyles count="2">
    <cellStyle name="Normal" xfId="0" builtinId="0"/>
    <cellStyle name="Normal 2" xfId="1" xr:uid="{F60A756D-957D-46C7-A6D7-F7A802C907D0}"/>
  </cellStyles>
  <dxfs count="12"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vmlDrawing3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il, Ana" id="{E963D1F3-B991-41B0-85A6-22D279958FF5}" userId="S::Ana.Gil@sonova.com::dc034bc6-7ba5-45cd-9a17-b8903ef972b0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81" dT="2020-07-03T11:00:49.40" personId="{E963D1F3-B991-41B0-85A6-22D279958FF5}" id="{E2BE93AB-8F1F-4D9D-A2C4-77AEEC7A23E6}">
    <text>Sólo retros, alergia lacas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B52" dT="2021-01-26T13:49:34.47" personId="{E963D1F3-B991-41B0-85A6-22D279958FF5}" id="{C3722FC4-6782-403E-B4FC-1DA5E103C4F4}">
    <text>NO ACTA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A31" dT="2021-01-26T13:49:34.47" personId="{E963D1F3-B991-41B0-85A6-22D279958FF5}" id="{C9AC2084-D459-4C1F-B2E7-E74EA9FFE0C8}">
    <text>NO ACTA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400E4-2618-44A4-A4D9-2A9EA664647A}">
  <dimension ref="A1:GC138"/>
  <sheetViews>
    <sheetView workbookViewId="0">
      <selection activeCell="J6" sqref="J6"/>
    </sheetView>
  </sheetViews>
  <sheetFormatPr defaultColWidth="31.54296875" defaultRowHeight="12.5" x14ac:dyDescent="0.25"/>
  <cols>
    <col min="1" max="1" width="21" style="1" bestFit="1" customWidth="1"/>
    <col min="2" max="21" width="3" style="1" customWidth="1"/>
    <col min="22" max="22" width="3" style="4" customWidth="1"/>
    <col min="23" max="29" width="3" style="1" customWidth="1"/>
    <col min="30" max="16384" width="31.54296875" style="1"/>
  </cols>
  <sheetData>
    <row r="1" spans="1:183" ht="154" thickBot="1" x14ac:dyDescent="0.35">
      <c r="A1" s="18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E1" s="14" t="s">
        <v>29</v>
      </c>
      <c r="AF1" s="15" t="s">
        <v>30</v>
      </c>
    </row>
    <row r="2" spans="1:183" ht="13" x14ac:dyDescent="0.3">
      <c r="A2" s="19" t="s">
        <v>31</v>
      </c>
      <c r="B2" s="20"/>
      <c r="C2" s="3"/>
      <c r="D2" s="3">
        <v>0</v>
      </c>
      <c r="E2" s="3"/>
      <c r="F2" s="3"/>
      <c r="G2" s="3">
        <v>0</v>
      </c>
      <c r="H2" s="3"/>
      <c r="I2" s="3"/>
      <c r="J2" s="3"/>
      <c r="K2" s="3">
        <v>3</v>
      </c>
      <c r="L2" s="3">
        <v>3</v>
      </c>
      <c r="M2" s="3"/>
      <c r="N2" s="3"/>
      <c r="O2" s="3"/>
      <c r="P2" s="3">
        <v>1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10" t="s">
        <v>32</v>
      </c>
    </row>
    <row r="3" spans="1:183" ht="13" x14ac:dyDescent="0.3">
      <c r="A3" s="2" t="s">
        <v>33</v>
      </c>
      <c r="B3" s="3"/>
      <c r="C3" s="3"/>
      <c r="D3" s="3">
        <v>3</v>
      </c>
      <c r="E3" s="3"/>
      <c r="F3" s="3"/>
      <c r="G3" s="3">
        <v>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>
        <v>2</v>
      </c>
      <c r="T3" s="3"/>
      <c r="U3" s="3"/>
      <c r="V3" s="3"/>
      <c r="W3" s="3"/>
      <c r="X3" s="3"/>
      <c r="Y3" s="3"/>
      <c r="Z3" s="3"/>
      <c r="AA3" s="3"/>
      <c r="AB3" s="3"/>
      <c r="AC3" s="3"/>
      <c r="AD3" s="5"/>
    </row>
    <row r="4" spans="1:183" ht="13" x14ac:dyDescent="0.3">
      <c r="A4" s="2" t="s">
        <v>34</v>
      </c>
      <c r="B4" s="3">
        <v>3</v>
      </c>
      <c r="C4" s="3"/>
      <c r="D4" s="3"/>
      <c r="E4" s="3"/>
      <c r="F4" s="3"/>
      <c r="G4" s="3"/>
      <c r="H4" s="3"/>
      <c r="I4" s="3"/>
      <c r="J4" s="3"/>
      <c r="K4" s="3">
        <v>1</v>
      </c>
      <c r="L4" s="3"/>
      <c r="M4" s="3"/>
      <c r="N4" s="3"/>
      <c r="O4" s="3"/>
      <c r="P4" s="3">
        <v>2</v>
      </c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6" t="s">
        <v>35</v>
      </c>
      <c r="AE4" s="1" t="s">
        <v>36</v>
      </c>
    </row>
    <row r="5" spans="1:183" ht="13" x14ac:dyDescent="0.3">
      <c r="A5" s="8" t="s">
        <v>37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>
        <v>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5"/>
    </row>
    <row r="6" spans="1:183" ht="13" x14ac:dyDescent="0.3">
      <c r="A6" s="2" t="s">
        <v>38</v>
      </c>
      <c r="B6" s="3"/>
      <c r="C6" s="3"/>
      <c r="D6" s="3">
        <v>3</v>
      </c>
      <c r="E6" s="3"/>
      <c r="F6" s="3"/>
      <c r="G6" s="3">
        <v>3</v>
      </c>
      <c r="H6" s="3"/>
      <c r="I6" s="3"/>
      <c r="J6" s="3"/>
      <c r="K6" s="3"/>
      <c r="L6" s="3">
        <v>1</v>
      </c>
      <c r="M6" s="3"/>
      <c r="N6" s="3"/>
      <c r="O6" s="3"/>
      <c r="P6" s="3"/>
      <c r="Q6" s="3"/>
      <c r="R6" s="3"/>
      <c r="S6" s="3">
        <v>2</v>
      </c>
      <c r="T6" s="3"/>
      <c r="U6" s="3"/>
      <c r="V6" s="3"/>
      <c r="W6" s="3"/>
      <c r="X6" s="3"/>
      <c r="Y6" s="3"/>
      <c r="Z6" s="3"/>
      <c r="AA6" s="3"/>
      <c r="AB6" s="3"/>
      <c r="AC6" s="3"/>
      <c r="AD6" s="7" t="s">
        <v>35</v>
      </c>
      <c r="AE6" s="1" t="s">
        <v>39</v>
      </c>
    </row>
    <row r="7" spans="1:183" ht="13" x14ac:dyDescent="0.3">
      <c r="A7" s="8" t="s">
        <v>40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>
        <v>3</v>
      </c>
      <c r="P7" s="3"/>
      <c r="Q7" s="3">
        <v>4</v>
      </c>
      <c r="R7" s="3">
        <v>4</v>
      </c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5"/>
    </row>
    <row r="8" spans="1:183" ht="13" x14ac:dyDescent="0.3">
      <c r="A8" s="8" t="s">
        <v>41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>
        <v>2</v>
      </c>
      <c r="R8" s="3">
        <v>1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9" t="s">
        <v>42</v>
      </c>
      <c r="AE8" s="1" t="s">
        <v>43</v>
      </c>
    </row>
    <row r="9" spans="1:183" ht="13" x14ac:dyDescent="0.3">
      <c r="A9" s="2" t="s">
        <v>44</v>
      </c>
      <c r="B9" s="3"/>
      <c r="C9" s="3"/>
      <c r="D9" s="3">
        <v>3</v>
      </c>
      <c r="E9" s="3"/>
      <c r="F9" s="3"/>
      <c r="G9" s="3">
        <v>3</v>
      </c>
      <c r="H9" s="3"/>
      <c r="I9" s="3"/>
      <c r="J9" s="3"/>
      <c r="K9" s="3"/>
      <c r="L9" s="3">
        <v>1</v>
      </c>
      <c r="M9" s="3"/>
      <c r="N9" s="3"/>
      <c r="O9" s="3"/>
      <c r="P9" s="3"/>
      <c r="Q9" s="3"/>
      <c r="R9" s="3"/>
      <c r="S9" s="3">
        <v>2</v>
      </c>
      <c r="T9" s="3"/>
      <c r="U9" s="3"/>
      <c r="V9" s="3"/>
      <c r="W9" s="3"/>
      <c r="X9" s="3"/>
      <c r="Y9" s="3"/>
      <c r="Z9" s="3"/>
      <c r="AA9" s="3"/>
      <c r="AB9" s="3"/>
      <c r="AC9" s="3"/>
      <c r="AD9" s="5"/>
    </row>
    <row r="10" spans="1:183" ht="13" x14ac:dyDescent="0.3">
      <c r="A10" s="2" t="s">
        <v>45</v>
      </c>
      <c r="B10" s="3">
        <v>2</v>
      </c>
      <c r="C10" s="3">
        <v>3</v>
      </c>
      <c r="D10" s="3"/>
      <c r="E10" s="3"/>
      <c r="F10" s="3"/>
      <c r="G10" s="3"/>
      <c r="H10" s="3"/>
      <c r="I10" s="3"/>
      <c r="J10" s="3"/>
      <c r="K10" s="3">
        <v>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13" t="s">
        <v>46</v>
      </c>
      <c r="AE10" s="1" t="s">
        <v>47</v>
      </c>
    </row>
    <row r="11" spans="1:183" ht="13" x14ac:dyDescent="0.3">
      <c r="A11" s="16" t="s">
        <v>48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>
        <v>3</v>
      </c>
      <c r="X11" s="3">
        <v>3</v>
      </c>
      <c r="Y11" s="3"/>
      <c r="Z11" s="3">
        <v>3</v>
      </c>
      <c r="AA11" s="3">
        <v>3</v>
      </c>
      <c r="AB11" s="3">
        <v>3</v>
      </c>
      <c r="AC11" s="3">
        <v>3</v>
      </c>
    </row>
    <row r="12" spans="1:183" s="4" customFormat="1" ht="13" x14ac:dyDescent="0.3">
      <c r="A12" s="2" t="s">
        <v>49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>
        <v>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</row>
    <row r="13" spans="1:183" s="4" customFormat="1" ht="13" x14ac:dyDescent="0.3">
      <c r="A13" s="2" t="s">
        <v>50</v>
      </c>
      <c r="B13" s="3">
        <v>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>
        <v>2</v>
      </c>
      <c r="R13" s="3">
        <v>2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</row>
    <row r="14" spans="1:183" s="4" customFormat="1" ht="13" x14ac:dyDescent="0.3">
      <c r="A14" s="2" t="s">
        <v>51</v>
      </c>
      <c r="B14" s="3">
        <v>3</v>
      </c>
      <c r="C14" s="3"/>
      <c r="D14" s="3"/>
      <c r="E14" s="3"/>
      <c r="F14" s="3"/>
      <c r="G14" s="3">
        <v>2</v>
      </c>
      <c r="H14" s="3"/>
      <c r="I14" s="3"/>
      <c r="J14" s="3"/>
      <c r="K14" s="3"/>
      <c r="L14" s="3"/>
      <c r="M14" s="3">
        <v>2</v>
      </c>
      <c r="N14" s="3">
        <v>2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</row>
    <row r="15" spans="1:183" s="4" customFormat="1" ht="13" x14ac:dyDescent="0.3">
      <c r="A15" s="8" t="s">
        <v>52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>
        <v>2</v>
      </c>
      <c r="Q15" s="3">
        <v>1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</row>
    <row r="16" spans="1:183" s="4" customFormat="1" ht="13" x14ac:dyDescent="0.3">
      <c r="A16" s="2" t="s">
        <v>53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>
        <v>2</v>
      </c>
      <c r="R16" s="3">
        <v>2</v>
      </c>
      <c r="S16" s="3">
        <v>2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</row>
    <row r="17" spans="1:185" s="4" customFormat="1" ht="13" x14ac:dyDescent="0.3">
      <c r="A17" s="8" t="s">
        <v>54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>
        <v>2</v>
      </c>
      <c r="N17" s="3">
        <v>3</v>
      </c>
      <c r="O17" s="3"/>
      <c r="P17" s="3">
        <v>3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</row>
    <row r="18" spans="1:185" s="4" customFormat="1" ht="13" x14ac:dyDescent="0.3">
      <c r="A18" s="8" t="s">
        <v>55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>
        <v>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</row>
    <row r="19" spans="1:185" s="4" customFormat="1" ht="13" x14ac:dyDescent="0.3">
      <c r="A19" s="8" t="s">
        <v>56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>
        <v>2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</row>
    <row r="20" spans="1:185" s="4" customFormat="1" ht="13" x14ac:dyDescent="0.3">
      <c r="A20" s="2" t="s">
        <v>57</v>
      </c>
      <c r="B20" s="3"/>
      <c r="C20" s="3"/>
      <c r="D20" s="3"/>
      <c r="E20" s="3"/>
      <c r="F20" s="3"/>
      <c r="G20" s="3">
        <v>2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</row>
    <row r="21" spans="1:185" s="4" customFormat="1" ht="13" x14ac:dyDescent="0.3">
      <c r="A21" s="2" t="s">
        <v>58</v>
      </c>
      <c r="B21" s="3"/>
      <c r="C21" s="3"/>
      <c r="D21" s="3"/>
      <c r="E21" s="3"/>
      <c r="F21" s="3"/>
      <c r="G21" s="3"/>
      <c r="H21" s="3"/>
      <c r="I21" s="3"/>
      <c r="J21" s="3"/>
      <c r="K21" s="3">
        <v>3</v>
      </c>
      <c r="L21" s="3">
        <v>3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</row>
    <row r="22" spans="1:185" s="4" customFormat="1" ht="13" x14ac:dyDescent="0.3">
      <c r="A22" s="2" t="s">
        <v>59</v>
      </c>
      <c r="B22" s="3">
        <v>2</v>
      </c>
      <c r="C22" s="3">
        <v>2</v>
      </c>
      <c r="D22" s="3"/>
      <c r="E22" s="3"/>
      <c r="F22" s="3"/>
      <c r="G22" s="3"/>
      <c r="H22" s="3"/>
      <c r="I22" s="3"/>
      <c r="J22" s="3"/>
      <c r="K22" s="3">
        <v>1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</row>
    <row r="23" spans="1:185" s="4" customFormat="1" ht="13" x14ac:dyDescent="0.3">
      <c r="A23" s="2" t="s">
        <v>60</v>
      </c>
      <c r="B23" s="3">
        <v>2</v>
      </c>
      <c r="C23" s="3"/>
      <c r="D23" s="3"/>
      <c r="E23" s="3"/>
      <c r="F23" s="3"/>
      <c r="G23" s="3"/>
      <c r="H23" s="3"/>
      <c r="I23" s="3"/>
      <c r="J23" s="3"/>
      <c r="K23" s="3">
        <v>2</v>
      </c>
      <c r="L23" s="3">
        <v>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</row>
    <row r="24" spans="1:185" s="4" customFormat="1" ht="13" x14ac:dyDescent="0.3">
      <c r="A24" s="8" t="s">
        <v>61</v>
      </c>
      <c r="B24" s="3"/>
      <c r="C24" s="3"/>
      <c r="D24" s="3"/>
      <c r="E24" s="3"/>
      <c r="F24" s="3"/>
      <c r="G24" s="3"/>
      <c r="H24" s="3"/>
      <c r="I24" s="3">
        <v>2</v>
      </c>
      <c r="J24" s="3">
        <v>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</row>
    <row r="25" spans="1:185" s="4" customFormat="1" ht="13" x14ac:dyDescent="0.3">
      <c r="A25" s="2" t="s">
        <v>62</v>
      </c>
      <c r="B25" s="3">
        <v>2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>
        <v>3</v>
      </c>
      <c r="R25" s="3">
        <v>3</v>
      </c>
      <c r="S25" s="3">
        <v>2</v>
      </c>
      <c r="T25" s="3">
        <v>2</v>
      </c>
      <c r="U25" s="3"/>
      <c r="V25" s="3"/>
      <c r="W25" s="3"/>
      <c r="X25" s="3"/>
      <c r="Y25" s="3"/>
      <c r="Z25" s="3"/>
      <c r="AA25" s="3"/>
      <c r="AB25" s="3"/>
      <c r="AC25" s="3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</row>
    <row r="26" spans="1:185" s="4" customFormat="1" ht="13" x14ac:dyDescent="0.3">
      <c r="A26" s="2" t="s">
        <v>63</v>
      </c>
      <c r="B26" s="3"/>
      <c r="C26" s="3">
        <v>4</v>
      </c>
      <c r="D26" s="3"/>
      <c r="E26" s="3"/>
      <c r="F26" s="3"/>
      <c r="G26" s="3"/>
      <c r="H26" s="3">
        <v>4</v>
      </c>
      <c r="I26" s="3"/>
      <c r="J26" s="3">
        <v>3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</row>
    <row r="27" spans="1:185" s="4" customFormat="1" ht="13" x14ac:dyDescent="0.3">
      <c r="A27" s="2" t="s">
        <v>64</v>
      </c>
      <c r="B27" s="3">
        <v>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>
        <v>2</v>
      </c>
      <c r="R27" s="3">
        <v>2</v>
      </c>
      <c r="S27" s="3">
        <v>2</v>
      </c>
      <c r="T27" s="3">
        <v>2</v>
      </c>
      <c r="U27" s="3"/>
      <c r="V27" s="3"/>
      <c r="W27" s="3"/>
      <c r="X27" s="3"/>
      <c r="Y27" s="3"/>
      <c r="Z27" s="3"/>
      <c r="AA27" s="3"/>
      <c r="AB27" s="3"/>
      <c r="AC27" s="3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</row>
    <row r="28" spans="1:185" ht="13" x14ac:dyDescent="0.3">
      <c r="A28" s="12" t="s">
        <v>65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>
        <v>2</v>
      </c>
      <c r="V28" s="3"/>
      <c r="W28" s="3"/>
      <c r="X28" s="3"/>
      <c r="Y28" s="3"/>
      <c r="Z28" s="3"/>
      <c r="AA28" s="3"/>
      <c r="AB28" s="3"/>
      <c r="AC28" s="3"/>
    </row>
    <row r="29" spans="1:185" ht="13" x14ac:dyDescent="0.3">
      <c r="A29" s="8" t="s">
        <v>66</v>
      </c>
      <c r="B29" s="3"/>
      <c r="C29" s="3"/>
      <c r="D29" s="3"/>
      <c r="E29" s="3"/>
      <c r="F29" s="3"/>
      <c r="G29" s="3"/>
      <c r="H29" s="3"/>
      <c r="I29" s="3"/>
      <c r="J29" s="3">
        <v>2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185" ht="13" x14ac:dyDescent="0.3">
      <c r="A30" s="2" t="s">
        <v>67</v>
      </c>
      <c r="B30" s="3"/>
      <c r="C30" s="3">
        <v>2</v>
      </c>
      <c r="D30" s="3">
        <v>1</v>
      </c>
      <c r="E30" s="3"/>
      <c r="F30" s="3"/>
      <c r="G30" s="3">
        <v>1</v>
      </c>
      <c r="H30" s="3"/>
      <c r="I30" s="3"/>
      <c r="J30" s="3"/>
      <c r="K30" s="3">
        <v>1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185" ht="13" x14ac:dyDescent="0.3">
      <c r="A31" s="2" t="s">
        <v>68</v>
      </c>
      <c r="B31" s="3"/>
      <c r="C31" s="3">
        <v>3</v>
      </c>
      <c r="D31" s="3">
        <v>1</v>
      </c>
      <c r="E31" s="3"/>
      <c r="F31" s="3"/>
      <c r="G31" s="3">
        <v>2</v>
      </c>
      <c r="H31" s="3">
        <v>3</v>
      </c>
      <c r="I31" s="3"/>
      <c r="J31" s="3"/>
      <c r="K31" s="3"/>
      <c r="L31" s="3"/>
      <c r="M31" s="3"/>
      <c r="N31" s="3">
        <v>2</v>
      </c>
      <c r="O31" s="3"/>
      <c r="P31" s="3">
        <v>2</v>
      </c>
      <c r="Q31" s="3">
        <v>2</v>
      </c>
      <c r="R31" s="3">
        <v>2</v>
      </c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185" ht="13" x14ac:dyDescent="0.3">
      <c r="A32" s="2" t="s">
        <v>69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>
        <v>2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3" x14ac:dyDescent="0.3">
      <c r="A33" s="2" t="s">
        <v>70</v>
      </c>
      <c r="B33" s="3">
        <v>3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2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3" x14ac:dyDescent="0.3">
      <c r="A34" s="8" t="s">
        <v>71</v>
      </c>
      <c r="B34" s="3"/>
      <c r="C34" s="3"/>
      <c r="D34" s="3"/>
      <c r="E34" s="3"/>
      <c r="F34" s="3"/>
      <c r="G34" s="3"/>
      <c r="H34" s="3"/>
      <c r="I34" s="3"/>
      <c r="J34" s="3">
        <v>1</v>
      </c>
      <c r="K34" s="3"/>
      <c r="L34" s="3"/>
      <c r="M34" s="3"/>
      <c r="N34" s="3"/>
      <c r="O34" s="3">
        <v>3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3" x14ac:dyDescent="0.3">
      <c r="A35" s="2" t="s">
        <v>72</v>
      </c>
      <c r="B35" s="3"/>
      <c r="C35" s="3"/>
      <c r="D35" s="3">
        <v>2</v>
      </c>
      <c r="E35" s="3"/>
      <c r="F35" s="3"/>
      <c r="G35" s="3">
        <v>2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3" x14ac:dyDescent="0.3">
      <c r="A36" s="2" t="s">
        <v>73</v>
      </c>
      <c r="B36" s="3">
        <v>2</v>
      </c>
      <c r="C36" s="3"/>
      <c r="D36" s="3"/>
      <c r="E36" s="3"/>
      <c r="F36" s="3"/>
      <c r="G36" s="3"/>
      <c r="H36" s="3"/>
      <c r="I36" s="3"/>
      <c r="J36" s="3"/>
      <c r="K36" s="3">
        <v>1</v>
      </c>
      <c r="L36" s="3"/>
      <c r="M36" s="3"/>
      <c r="N36" s="3"/>
      <c r="O36" s="3"/>
      <c r="P36" s="3">
        <v>2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3" x14ac:dyDescent="0.3">
      <c r="A37" s="11" t="s">
        <v>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>
        <v>2</v>
      </c>
      <c r="U37" s="3"/>
      <c r="V37" s="3"/>
      <c r="W37" s="3"/>
      <c r="X37" s="3"/>
      <c r="Y37" s="3"/>
      <c r="Z37" s="3"/>
      <c r="AA37" s="3"/>
      <c r="AB37" s="3"/>
      <c r="AC37" s="3"/>
    </row>
    <row r="38" spans="1:29" ht="13" x14ac:dyDescent="0.3">
      <c r="A38" s="8" t="s">
        <v>75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>
        <v>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3" x14ac:dyDescent="0.3">
      <c r="A39" s="2" t="s">
        <v>76</v>
      </c>
      <c r="B39" s="3"/>
      <c r="C39" s="3"/>
      <c r="D39" s="3"/>
      <c r="E39" s="3"/>
      <c r="F39" s="3"/>
      <c r="G39" s="3">
        <v>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3" x14ac:dyDescent="0.3">
      <c r="A40" s="2" t="s">
        <v>77</v>
      </c>
      <c r="B40" s="3"/>
      <c r="C40" s="3">
        <v>4</v>
      </c>
      <c r="D40" s="3"/>
      <c r="E40" s="3"/>
      <c r="F40" s="3"/>
      <c r="G40" s="3">
        <v>1</v>
      </c>
      <c r="H40" s="3">
        <v>4</v>
      </c>
      <c r="I40" s="3"/>
      <c r="J40" s="3">
        <v>3</v>
      </c>
      <c r="K40" s="3"/>
      <c r="L40" s="3"/>
      <c r="M40" s="3"/>
      <c r="N40" s="3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3" x14ac:dyDescent="0.3">
      <c r="A41" s="2" t="s">
        <v>78</v>
      </c>
      <c r="B41" s="3">
        <v>3</v>
      </c>
      <c r="C41" s="3"/>
      <c r="D41" s="3"/>
      <c r="E41" s="3"/>
      <c r="F41" s="3"/>
      <c r="G41" s="3">
        <v>1</v>
      </c>
      <c r="H41" s="3"/>
      <c r="I41" s="3"/>
      <c r="J41" s="3"/>
      <c r="K41" s="3"/>
      <c r="L41" s="3"/>
      <c r="M41" s="3"/>
      <c r="N41" s="3"/>
      <c r="O41" s="3"/>
      <c r="P41" s="3"/>
      <c r="Q41" s="3">
        <v>2</v>
      </c>
      <c r="R41" s="3">
        <v>2</v>
      </c>
      <c r="S41" s="3">
        <v>2</v>
      </c>
      <c r="T41" s="3">
        <v>2</v>
      </c>
      <c r="U41" s="3"/>
      <c r="V41" s="3"/>
      <c r="W41" s="3"/>
      <c r="X41" s="3"/>
      <c r="Y41" s="3"/>
      <c r="Z41" s="3"/>
      <c r="AA41" s="3"/>
      <c r="AB41" s="3"/>
      <c r="AC41" s="3"/>
    </row>
    <row r="42" spans="1:29" ht="13" x14ac:dyDescent="0.3">
      <c r="A42" s="2" t="s">
        <v>79</v>
      </c>
      <c r="B42" s="3">
        <v>2</v>
      </c>
      <c r="C42" s="3"/>
      <c r="D42" s="3">
        <v>3</v>
      </c>
      <c r="E42" s="3"/>
      <c r="F42" s="3"/>
      <c r="G42" s="3">
        <v>3</v>
      </c>
      <c r="H42" s="3"/>
      <c r="I42" s="3"/>
      <c r="J42" s="3"/>
      <c r="K42" s="3"/>
      <c r="L42" s="3"/>
      <c r="M42" s="3"/>
      <c r="N42" s="3">
        <v>1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3" x14ac:dyDescent="0.3">
      <c r="A43" s="2" t="s">
        <v>80</v>
      </c>
      <c r="B43" s="3"/>
      <c r="C43" s="3"/>
      <c r="D43" s="3">
        <v>2</v>
      </c>
      <c r="E43" s="3"/>
      <c r="F43" s="3"/>
      <c r="G43" s="3">
        <v>2</v>
      </c>
      <c r="H43" s="3"/>
      <c r="I43" s="3"/>
      <c r="J43" s="3"/>
      <c r="K43" s="3">
        <v>3</v>
      </c>
      <c r="L43" s="3">
        <v>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3" x14ac:dyDescent="0.3">
      <c r="A44" s="8" t="s">
        <v>81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1</v>
      </c>
      <c r="O44" s="3"/>
      <c r="P44" s="3">
        <v>3</v>
      </c>
      <c r="Q44" s="3">
        <v>3</v>
      </c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3" x14ac:dyDescent="0.3">
      <c r="A45" s="8" t="s">
        <v>82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1</v>
      </c>
      <c r="O45" s="3">
        <v>3</v>
      </c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3" x14ac:dyDescent="0.3">
      <c r="A46" s="2" t="s">
        <v>83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2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3" x14ac:dyDescent="0.3">
      <c r="A47" s="2" t="s">
        <v>84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>
        <v>2</v>
      </c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3" x14ac:dyDescent="0.3">
      <c r="A48" s="12" t="s">
        <v>85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>
        <v>2</v>
      </c>
      <c r="V48" s="3"/>
      <c r="W48" s="3"/>
      <c r="X48" s="3"/>
      <c r="Y48" s="3"/>
      <c r="Z48" s="3"/>
      <c r="AA48" s="3"/>
      <c r="AB48" s="3"/>
      <c r="AC48" s="3"/>
    </row>
    <row r="49" spans="1:29" ht="13" x14ac:dyDescent="0.3">
      <c r="A49" s="8" t="s">
        <v>86</v>
      </c>
      <c r="B49" s="3"/>
      <c r="C49" s="3"/>
      <c r="D49" s="3"/>
      <c r="E49" s="3"/>
      <c r="F49" s="3"/>
      <c r="G49" s="3"/>
      <c r="H49" s="3"/>
      <c r="I49" s="3"/>
      <c r="J49" s="3">
        <v>2</v>
      </c>
      <c r="K49" s="3"/>
      <c r="L49" s="3"/>
      <c r="M49" s="3"/>
      <c r="N49" s="3"/>
      <c r="O49" s="3"/>
      <c r="P49" s="3"/>
      <c r="Q49" s="3">
        <v>3</v>
      </c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3" x14ac:dyDescent="0.3">
      <c r="A50" s="2" t="s">
        <v>87</v>
      </c>
      <c r="B50" s="3">
        <v>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>
        <v>2</v>
      </c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3" x14ac:dyDescent="0.3">
      <c r="A51" s="2" t="s">
        <v>88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3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3" x14ac:dyDescent="0.3">
      <c r="A52" s="2" t="s">
        <v>89</v>
      </c>
      <c r="B52" s="3"/>
      <c r="C52" s="3">
        <v>1</v>
      </c>
      <c r="D52" s="3"/>
      <c r="E52" s="3"/>
      <c r="F52" s="3"/>
      <c r="G52" s="3"/>
      <c r="H52" s="3">
        <v>1</v>
      </c>
      <c r="I52" s="3"/>
      <c r="J52" s="3">
        <v>3</v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3" x14ac:dyDescent="0.3">
      <c r="A53" s="2" t="s">
        <v>90</v>
      </c>
      <c r="B53" s="3">
        <v>1</v>
      </c>
      <c r="C53" s="3"/>
      <c r="D53" s="3"/>
      <c r="E53" s="3"/>
      <c r="F53" s="3"/>
      <c r="G53" s="3">
        <v>2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3" x14ac:dyDescent="0.3">
      <c r="A54" s="8" t="s">
        <v>91</v>
      </c>
      <c r="B54" s="3"/>
      <c r="C54" s="3"/>
      <c r="D54" s="3"/>
      <c r="E54" s="3"/>
      <c r="F54" s="3"/>
      <c r="G54" s="3"/>
      <c r="H54" s="3"/>
      <c r="I54" s="3"/>
      <c r="J54" s="3"/>
      <c r="K54" s="3">
        <v>1</v>
      </c>
      <c r="L54" s="3"/>
      <c r="M54" s="3">
        <v>3</v>
      </c>
      <c r="N54" s="3">
        <v>3</v>
      </c>
      <c r="O54" s="3"/>
      <c r="P54" s="3">
        <v>2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3" x14ac:dyDescent="0.3">
      <c r="A55" s="2" t="s">
        <v>92</v>
      </c>
      <c r="B55" s="3"/>
      <c r="C55" s="3"/>
      <c r="D55" s="3">
        <v>3</v>
      </c>
      <c r="E55" s="3"/>
      <c r="F55" s="3"/>
      <c r="G55" s="3">
        <v>3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3" x14ac:dyDescent="0.3">
      <c r="A56" s="2" t="s">
        <v>93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>
        <v>3</v>
      </c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3" x14ac:dyDescent="0.3">
      <c r="A57" s="2" t="s">
        <v>94</v>
      </c>
      <c r="B57" s="3">
        <v>3</v>
      </c>
      <c r="C57" s="3"/>
      <c r="D57" s="3"/>
      <c r="E57" s="3"/>
      <c r="F57" s="3"/>
      <c r="G57" s="3"/>
      <c r="H57" s="3"/>
      <c r="I57" s="3"/>
      <c r="J57" s="3"/>
      <c r="K57" s="3">
        <v>1</v>
      </c>
      <c r="L57" s="3">
        <v>1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3" x14ac:dyDescent="0.3">
      <c r="A58" s="2" t="s">
        <v>95</v>
      </c>
      <c r="B58" s="3">
        <v>2</v>
      </c>
      <c r="C58" s="3">
        <v>2</v>
      </c>
      <c r="D58" s="3"/>
      <c r="E58" s="3"/>
      <c r="F58" s="3"/>
      <c r="G58" s="3"/>
      <c r="H58" s="3"/>
      <c r="I58" s="3"/>
      <c r="J58" s="3">
        <v>2</v>
      </c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3" x14ac:dyDescent="0.3">
      <c r="A59" s="2" t="s">
        <v>96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>
        <v>2</v>
      </c>
      <c r="R59" s="3">
        <v>2</v>
      </c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3" x14ac:dyDescent="0.3">
      <c r="A60" s="8" t="s">
        <v>97</v>
      </c>
      <c r="B60" s="3"/>
      <c r="C60" s="3"/>
      <c r="D60" s="3"/>
      <c r="E60" s="3"/>
      <c r="F60" s="3"/>
      <c r="G60" s="3"/>
      <c r="H60" s="3"/>
      <c r="I60" s="3"/>
      <c r="J60" s="3"/>
      <c r="K60" s="3">
        <v>2</v>
      </c>
      <c r="L60" s="3"/>
      <c r="M60" s="3"/>
      <c r="N60" s="3"/>
      <c r="O60" s="3">
        <v>3</v>
      </c>
      <c r="P60" s="3"/>
      <c r="Q60" s="3">
        <v>1</v>
      </c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3" x14ac:dyDescent="0.3">
      <c r="A61" s="2" t="s">
        <v>98</v>
      </c>
      <c r="B61" s="3"/>
      <c r="C61" s="3"/>
      <c r="D61" s="3">
        <v>3</v>
      </c>
      <c r="E61" s="3">
        <v>3</v>
      </c>
      <c r="F61" s="3">
        <v>3</v>
      </c>
      <c r="G61" s="3">
        <v>3</v>
      </c>
      <c r="H61" s="3">
        <v>2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3" x14ac:dyDescent="0.3">
      <c r="A62" s="2" t="s">
        <v>99</v>
      </c>
      <c r="B62" s="3"/>
      <c r="C62" s="3"/>
      <c r="D62" s="3">
        <v>3</v>
      </c>
      <c r="E62" s="3">
        <v>2</v>
      </c>
      <c r="F62" s="3">
        <v>2</v>
      </c>
      <c r="G62" s="3">
        <v>3</v>
      </c>
      <c r="H62" s="3">
        <v>2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3" x14ac:dyDescent="0.3">
      <c r="A63" s="2" t="s">
        <v>100</v>
      </c>
      <c r="B63" s="3"/>
      <c r="C63" s="3"/>
      <c r="D63" s="3">
        <v>2</v>
      </c>
      <c r="E63" s="3">
        <v>2</v>
      </c>
      <c r="F63" s="3">
        <v>2</v>
      </c>
      <c r="G63" s="3">
        <v>2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3" x14ac:dyDescent="0.3">
      <c r="A64" s="2" t="s">
        <v>101</v>
      </c>
      <c r="B64" s="3"/>
      <c r="C64" s="3"/>
      <c r="D64" s="3"/>
      <c r="E64" s="3"/>
      <c r="F64" s="3"/>
      <c r="G64" s="3">
        <v>2</v>
      </c>
      <c r="H64" s="3"/>
      <c r="I64" s="3"/>
      <c r="J64" s="3"/>
      <c r="K64" s="3"/>
      <c r="L64" s="3"/>
      <c r="M64" s="3"/>
      <c r="N64" s="3">
        <v>2</v>
      </c>
      <c r="O64" s="3"/>
      <c r="P64" s="3">
        <v>2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3" x14ac:dyDescent="0.3">
      <c r="A65" s="8" t="s">
        <v>102</v>
      </c>
      <c r="B65" s="3"/>
      <c r="C65" s="3"/>
      <c r="D65" s="3"/>
      <c r="E65" s="3"/>
      <c r="F65" s="3"/>
      <c r="G65" s="3"/>
      <c r="H65" s="3"/>
      <c r="I65" s="3">
        <v>1</v>
      </c>
      <c r="J65" s="3"/>
      <c r="K65" s="3">
        <v>3</v>
      </c>
      <c r="L65" s="3"/>
      <c r="M65" s="3">
        <v>3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3" x14ac:dyDescent="0.3">
      <c r="A66" s="12" t="s">
        <v>103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</v>
      </c>
      <c r="V66" s="3"/>
      <c r="W66" s="3"/>
      <c r="X66" s="3"/>
      <c r="Y66" s="3"/>
      <c r="Z66" s="3"/>
      <c r="AA66" s="3"/>
      <c r="AB66" s="3"/>
      <c r="AC66" s="3"/>
    </row>
    <row r="67" spans="1:29" ht="13" x14ac:dyDescent="0.3">
      <c r="A67" s="8" t="s">
        <v>104</v>
      </c>
      <c r="B67" s="3"/>
      <c r="C67" s="3"/>
      <c r="D67" s="3"/>
      <c r="E67" s="3"/>
      <c r="F67" s="3"/>
      <c r="G67" s="3"/>
      <c r="H67" s="3"/>
      <c r="I67" s="3">
        <v>1</v>
      </c>
      <c r="J67" s="3">
        <v>3</v>
      </c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3" x14ac:dyDescent="0.3">
      <c r="A68" s="8" t="s">
        <v>105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>
        <v>3</v>
      </c>
      <c r="S68" s="3"/>
      <c r="T68" s="3">
        <v>2</v>
      </c>
      <c r="U68" s="3"/>
      <c r="V68" s="3"/>
      <c r="W68" s="3"/>
      <c r="X68" s="3"/>
      <c r="Y68" s="3"/>
      <c r="Z68" s="3"/>
      <c r="AA68" s="3"/>
      <c r="AB68" s="3"/>
      <c r="AC68" s="3"/>
    </row>
    <row r="69" spans="1:29" ht="13" x14ac:dyDescent="0.3">
      <c r="A69" s="16" t="s">
        <v>106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v>1</v>
      </c>
      <c r="Z69" s="3">
        <v>2</v>
      </c>
      <c r="AA69" s="3">
        <v>3</v>
      </c>
      <c r="AB69" s="3">
        <v>3</v>
      </c>
      <c r="AC69" s="3">
        <v>3</v>
      </c>
    </row>
    <row r="70" spans="1:29" ht="13" x14ac:dyDescent="0.3">
      <c r="A70" s="2" t="s">
        <v>107</v>
      </c>
      <c r="B70" s="3">
        <v>1</v>
      </c>
      <c r="C70" s="3">
        <v>3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2</v>
      </c>
      <c r="O70" s="3"/>
      <c r="P70" s="3">
        <v>2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3" x14ac:dyDescent="0.3">
      <c r="A71" s="12" t="s">
        <v>108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>
        <v>3</v>
      </c>
      <c r="V71" s="3"/>
      <c r="W71" s="3"/>
      <c r="X71" s="3"/>
      <c r="Y71" s="3"/>
      <c r="Z71" s="3"/>
      <c r="AA71" s="3"/>
      <c r="AB71" s="3"/>
      <c r="AC71" s="3"/>
    </row>
    <row r="72" spans="1:29" ht="13" x14ac:dyDescent="0.3">
      <c r="A72" s="2" t="s">
        <v>109</v>
      </c>
      <c r="B72" s="3">
        <v>3</v>
      </c>
      <c r="C72" s="3">
        <v>2</v>
      </c>
      <c r="D72" s="3"/>
      <c r="E72" s="3"/>
      <c r="F72" s="3"/>
      <c r="G72" s="3"/>
      <c r="H72" s="3"/>
      <c r="I72" s="3"/>
      <c r="J72" s="3"/>
      <c r="K72" s="3">
        <v>2</v>
      </c>
      <c r="L72" s="3">
        <v>1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3" x14ac:dyDescent="0.3">
      <c r="A73" s="11" t="s">
        <v>110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>
        <v>3</v>
      </c>
      <c r="T73" s="3">
        <v>3</v>
      </c>
      <c r="U73" s="3"/>
      <c r="V73" s="3"/>
      <c r="W73" s="3"/>
      <c r="X73" s="3"/>
      <c r="Y73" s="3"/>
      <c r="Z73" s="3"/>
      <c r="AA73" s="3"/>
      <c r="AB73" s="3"/>
      <c r="AC73" s="3"/>
    </row>
    <row r="74" spans="1:29" ht="13" x14ac:dyDescent="0.3">
      <c r="A74" s="16" t="s">
        <v>111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>
        <v>3</v>
      </c>
      <c r="X74" s="3">
        <v>3</v>
      </c>
      <c r="Y74" s="3">
        <v>3</v>
      </c>
      <c r="Z74" s="3">
        <v>3</v>
      </c>
      <c r="AA74" s="3">
        <v>3</v>
      </c>
      <c r="AB74" s="3">
        <v>3</v>
      </c>
      <c r="AC74" s="3">
        <v>3</v>
      </c>
    </row>
    <row r="75" spans="1:29" ht="13" x14ac:dyDescent="0.3">
      <c r="A75" s="16" t="s">
        <v>112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>
        <v>1</v>
      </c>
      <c r="X75" s="3">
        <v>1</v>
      </c>
      <c r="Y75" s="3">
        <v>3</v>
      </c>
      <c r="Z75" s="3">
        <v>3</v>
      </c>
      <c r="AA75" s="3"/>
      <c r="AB75" s="3">
        <v>2</v>
      </c>
      <c r="AC75" s="3">
        <v>2</v>
      </c>
    </row>
    <row r="76" spans="1:29" ht="13" x14ac:dyDescent="0.3">
      <c r="A76" s="2" t="s">
        <v>113</v>
      </c>
      <c r="B76" s="3">
        <v>2</v>
      </c>
      <c r="C76" s="3">
        <v>2</v>
      </c>
      <c r="D76" s="3">
        <v>1</v>
      </c>
      <c r="E76" s="3"/>
      <c r="F76" s="3"/>
      <c r="G76" s="3"/>
      <c r="H76" s="3"/>
      <c r="I76" s="3"/>
      <c r="J76" s="3"/>
      <c r="K76" s="3">
        <v>1</v>
      </c>
      <c r="L76" s="3">
        <v>1</v>
      </c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3" x14ac:dyDescent="0.3">
      <c r="A77" s="8" t="s">
        <v>114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>
        <v>2</v>
      </c>
      <c r="R77" s="3">
        <v>3</v>
      </c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3" x14ac:dyDescent="0.3">
      <c r="A78" s="12" t="s">
        <v>115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>
        <v>2</v>
      </c>
      <c r="V78" s="3"/>
      <c r="W78" s="3"/>
      <c r="X78" s="3"/>
      <c r="Y78" s="3"/>
      <c r="Z78" s="3"/>
      <c r="AA78" s="3"/>
      <c r="AB78" s="3"/>
      <c r="AC78" s="3"/>
    </row>
    <row r="79" spans="1:29" ht="13" x14ac:dyDescent="0.3">
      <c r="A79" s="8" t="s">
        <v>116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>
        <v>1</v>
      </c>
      <c r="N79" s="3"/>
      <c r="O79" s="3">
        <v>3</v>
      </c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3" x14ac:dyDescent="0.3">
      <c r="A80" s="8" t="s">
        <v>117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>
        <v>1</v>
      </c>
      <c r="P80" s="3">
        <v>3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3" x14ac:dyDescent="0.3">
      <c r="A81" s="11" t="s">
        <v>118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>
        <v>2</v>
      </c>
      <c r="T81" s="3">
        <v>2</v>
      </c>
      <c r="U81" s="3"/>
      <c r="V81" s="3"/>
      <c r="W81" s="3"/>
      <c r="X81" s="3"/>
      <c r="Y81" s="3"/>
      <c r="Z81" s="3"/>
      <c r="AA81" s="3"/>
      <c r="AB81" s="3"/>
      <c r="AC81" s="3"/>
    </row>
    <row r="82" spans="1:29" ht="13" x14ac:dyDescent="0.3">
      <c r="A82" s="8" t="s">
        <v>119</v>
      </c>
      <c r="B82" s="3"/>
      <c r="C82" s="3"/>
      <c r="D82" s="3"/>
      <c r="E82" s="3"/>
      <c r="F82" s="3"/>
      <c r="G82" s="3"/>
      <c r="H82" s="3"/>
      <c r="I82" s="3"/>
      <c r="J82" s="3">
        <v>3</v>
      </c>
      <c r="K82" s="3"/>
      <c r="L82" s="3"/>
      <c r="M82" s="3">
        <v>1</v>
      </c>
      <c r="N82" s="3">
        <v>1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3" x14ac:dyDescent="0.3">
      <c r="A83" s="2" t="s">
        <v>120</v>
      </c>
      <c r="B83" s="3">
        <v>3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>
        <v>2</v>
      </c>
      <c r="R83" s="3">
        <v>2</v>
      </c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3" x14ac:dyDescent="0.3">
      <c r="A84" s="8" t="s">
        <v>121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>
        <v>2</v>
      </c>
      <c r="N84" s="3">
        <v>2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3" x14ac:dyDescent="0.3">
      <c r="A85" s="11" t="s">
        <v>122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>
        <v>2</v>
      </c>
      <c r="T85" s="3">
        <v>2</v>
      </c>
      <c r="U85" s="3"/>
      <c r="V85" s="3"/>
      <c r="W85" s="3"/>
      <c r="X85" s="3"/>
      <c r="Y85" s="3"/>
      <c r="Z85" s="3"/>
      <c r="AA85" s="3"/>
      <c r="AB85" s="3"/>
      <c r="AC85" s="3"/>
    </row>
    <row r="86" spans="1:29" ht="13" x14ac:dyDescent="0.3">
      <c r="A86" s="11" t="s">
        <v>123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>
        <v>2</v>
      </c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3" x14ac:dyDescent="0.3">
      <c r="A87" s="2" t="s">
        <v>124</v>
      </c>
      <c r="B87" s="3">
        <v>2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2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3" x14ac:dyDescent="0.3">
      <c r="A88" s="8" t="s">
        <v>125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>
        <v>3</v>
      </c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3" x14ac:dyDescent="0.3">
      <c r="A89" s="8" t="s">
        <v>126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>
        <v>2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3" x14ac:dyDescent="0.3">
      <c r="A90" s="8" t="s">
        <v>127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>
        <v>3</v>
      </c>
      <c r="Q90" s="3">
        <v>2</v>
      </c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3" x14ac:dyDescent="0.3">
      <c r="A91" s="2" t="s">
        <v>128</v>
      </c>
      <c r="B91" s="3">
        <v>1</v>
      </c>
      <c r="C91" s="3"/>
      <c r="D91" s="3">
        <v>1</v>
      </c>
      <c r="E91" s="3"/>
      <c r="F91" s="3"/>
      <c r="G91" s="3">
        <v>2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3" x14ac:dyDescent="0.3">
      <c r="A92" s="2" t="s">
        <v>129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>
        <v>1</v>
      </c>
      <c r="P92" s="3">
        <v>3</v>
      </c>
      <c r="Q92" s="3"/>
      <c r="R92" s="3">
        <v>2</v>
      </c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3" x14ac:dyDescent="0.3">
      <c r="A93" s="11" t="s">
        <v>130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>
        <v>2</v>
      </c>
      <c r="U93" s="3"/>
      <c r="V93" s="3"/>
      <c r="W93" s="3"/>
      <c r="X93" s="3"/>
      <c r="Y93" s="3"/>
      <c r="Z93" s="3"/>
      <c r="AA93" s="3"/>
      <c r="AB93" s="3"/>
      <c r="AC93" s="3"/>
    </row>
    <row r="94" spans="1:29" ht="13" x14ac:dyDescent="0.3">
      <c r="A94" s="12" t="s">
        <v>131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>
        <v>3</v>
      </c>
      <c r="V94" s="3"/>
      <c r="W94" s="3"/>
      <c r="X94" s="3"/>
      <c r="Y94" s="3"/>
      <c r="Z94" s="3"/>
      <c r="AA94" s="3"/>
      <c r="AB94" s="3"/>
      <c r="AC94" s="3"/>
    </row>
    <row r="95" spans="1:29" ht="13" x14ac:dyDescent="0.3">
      <c r="A95" s="11" t="s">
        <v>132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>
        <v>2</v>
      </c>
      <c r="U95" s="3"/>
      <c r="V95" s="3"/>
      <c r="W95" s="3"/>
      <c r="X95" s="3"/>
      <c r="Y95" s="3"/>
      <c r="Z95" s="3"/>
      <c r="AA95" s="3"/>
      <c r="AB95" s="3"/>
      <c r="AC95" s="3"/>
    </row>
    <row r="96" spans="1:29" ht="13" x14ac:dyDescent="0.3">
      <c r="A96" s="12" t="s">
        <v>133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>
        <v>3</v>
      </c>
      <c r="V96" s="3"/>
      <c r="W96" s="3"/>
      <c r="X96" s="3"/>
      <c r="Y96" s="3"/>
      <c r="Z96" s="3"/>
      <c r="AA96" s="3"/>
      <c r="AB96" s="3"/>
      <c r="AC96" s="3"/>
    </row>
    <row r="97" spans="1:29" ht="13" x14ac:dyDescent="0.3">
      <c r="A97" s="2" t="s">
        <v>134</v>
      </c>
      <c r="B97" s="3">
        <v>1</v>
      </c>
      <c r="C97" s="3">
        <v>3</v>
      </c>
      <c r="D97" s="3">
        <v>1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3" x14ac:dyDescent="0.3">
      <c r="A98" s="2" t="s">
        <v>135</v>
      </c>
      <c r="B98" s="3">
        <v>2</v>
      </c>
      <c r="C98" s="3"/>
      <c r="D98" s="3"/>
      <c r="E98" s="3"/>
      <c r="F98" s="3"/>
      <c r="G98" s="3">
        <v>2</v>
      </c>
      <c r="H98" s="3"/>
      <c r="I98" s="3"/>
      <c r="J98" s="3"/>
      <c r="K98" s="3">
        <v>2</v>
      </c>
      <c r="L98" s="3">
        <v>2</v>
      </c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3" x14ac:dyDescent="0.3">
      <c r="A99" s="12" t="s">
        <v>136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>
        <v>3</v>
      </c>
      <c r="V99" s="3"/>
      <c r="W99" s="3"/>
      <c r="X99" s="3"/>
      <c r="Y99" s="3"/>
      <c r="Z99" s="3"/>
      <c r="AA99" s="3"/>
      <c r="AB99" s="3"/>
      <c r="AC99" s="3"/>
    </row>
    <row r="100" spans="1:29" ht="13" x14ac:dyDescent="0.3">
      <c r="A100" s="2" t="s">
        <v>137</v>
      </c>
      <c r="B100" s="3"/>
      <c r="C100" s="3"/>
      <c r="D100" s="3"/>
      <c r="E100" s="3"/>
      <c r="F100" s="3"/>
      <c r="G100" s="3"/>
      <c r="H100" s="3"/>
      <c r="I100" s="3"/>
      <c r="J100" s="3"/>
      <c r="K100" s="3">
        <v>3</v>
      </c>
      <c r="L100" s="3">
        <v>3</v>
      </c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3" x14ac:dyDescent="0.3">
      <c r="A101" s="11" t="s">
        <v>138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>
        <v>2</v>
      </c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3" x14ac:dyDescent="0.3">
      <c r="A102" s="8" t="s">
        <v>139</v>
      </c>
      <c r="B102" s="3"/>
      <c r="C102" s="3"/>
      <c r="D102" s="3"/>
      <c r="E102" s="3"/>
      <c r="F102" s="3"/>
      <c r="G102" s="3"/>
      <c r="H102" s="3"/>
      <c r="I102" s="3">
        <v>2</v>
      </c>
      <c r="J102" s="3"/>
      <c r="K102" s="3">
        <v>3</v>
      </c>
      <c r="L102" s="3">
        <v>3</v>
      </c>
      <c r="M102" s="3">
        <v>3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3" x14ac:dyDescent="0.3">
      <c r="A103" s="16" t="s">
        <v>140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>
        <v>3</v>
      </c>
      <c r="X103" s="3">
        <v>3</v>
      </c>
      <c r="Y103" s="3">
        <v>3</v>
      </c>
      <c r="Z103" s="3">
        <v>3</v>
      </c>
      <c r="AA103" s="3">
        <v>2</v>
      </c>
      <c r="AB103" s="3">
        <v>2</v>
      </c>
      <c r="AC103" s="3">
        <v>2</v>
      </c>
    </row>
    <row r="104" spans="1:29" ht="13" x14ac:dyDescent="0.3">
      <c r="A104" s="11" t="s">
        <v>141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>
        <v>3</v>
      </c>
      <c r="T104" s="3">
        <v>3</v>
      </c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3" x14ac:dyDescent="0.3">
      <c r="A105" s="2" t="s">
        <v>142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>
        <v>4</v>
      </c>
      <c r="R105" s="3">
        <v>4</v>
      </c>
      <c r="S105" s="3"/>
      <c r="T105" s="3"/>
      <c r="U105" s="3">
        <v>2</v>
      </c>
      <c r="V105" s="3"/>
      <c r="W105" s="3"/>
      <c r="X105" s="3"/>
      <c r="Y105" s="3"/>
      <c r="Z105" s="3"/>
      <c r="AA105" s="3"/>
      <c r="AB105" s="3"/>
      <c r="AC105" s="3"/>
    </row>
    <row r="106" spans="1:29" ht="13" x14ac:dyDescent="0.3">
      <c r="A106" s="8" t="s">
        <v>143</v>
      </c>
      <c r="B106" s="3">
        <v>2</v>
      </c>
      <c r="C106" s="3"/>
      <c r="D106" s="3"/>
      <c r="E106" s="3"/>
      <c r="F106" s="3"/>
      <c r="G106" s="3"/>
      <c r="H106" s="3"/>
      <c r="I106" s="3">
        <v>3</v>
      </c>
      <c r="J106" s="3"/>
      <c r="K106" s="3">
        <v>2</v>
      </c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3" x14ac:dyDescent="0.3">
      <c r="A107" s="11" t="s">
        <v>144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>
        <v>2</v>
      </c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3" x14ac:dyDescent="0.3">
      <c r="A108" s="2" t="s">
        <v>145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2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3" x14ac:dyDescent="0.3">
      <c r="A109" s="8" t="s">
        <v>146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>
        <v>1</v>
      </c>
      <c r="N109" s="3">
        <v>2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3" x14ac:dyDescent="0.3">
      <c r="A110" s="2" t="s">
        <v>147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>
        <v>2</v>
      </c>
      <c r="N110" s="3">
        <v>2</v>
      </c>
      <c r="O110" s="3"/>
      <c r="P110" s="3">
        <v>2</v>
      </c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3" x14ac:dyDescent="0.3">
      <c r="A111" s="2" t="s">
        <v>148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>
        <v>2</v>
      </c>
      <c r="N111" s="3"/>
      <c r="O111" s="3"/>
      <c r="P111" s="3">
        <v>2</v>
      </c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3" x14ac:dyDescent="0.3">
      <c r="A112" s="16" t="s">
        <v>149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>
        <v>1</v>
      </c>
      <c r="N112" s="3"/>
      <c r="O112" s="3"/>
      <c r="P112" s="3"/>
      <c r="Q112" s="3"/>
      <c r="R112" s="3"/>
      <c r="S112" s="3"/>
      <c r="T112" s="3"/>
      <c r="U112" s="3"/>
      <c r="V112" s="3"/>
      <c r="W112" s="3">
        <v>3</v>
      </c>
      <c r="X112" s="3">
        <v>3</v>
      </c>
      <c r="Y112" s="3"/>
      <c r="Z112" s="3">
        <v>1</v>
      </c>
      <c r="AA112" s="3">
        <v>2</v>
      </c>
      <c r="AB112" s="3"/>
      <c r="AC112" s="3"/>
    </row>
    <row r="113" spans="1:29" ht="13" x14ac:dyDescent="0.3">
      <c r="A113" s="11" t="s">
        <v>150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>
        <v>3</v>
      </c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3" x14ac:dyDescent="0.3">
      <c r="A114" s="11" t="s">
        <v>151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>
        <v>3</v>
      </c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3" x14ac:dyDescent="0.3">
      <c r="A115" s="8" t="s">
        <v>152</v>
      </c>
      <c r="B115" s="3"/>
      <c r="C115" s="3"/>
      <c r="D115" s="3"/>
      <c r="E115" s="3"/>
      <c r="F115" s="3"/>
      <c r="G115" s="3"/>
      <c r="H115" s="3"/>
      <c r="I115" s="3"/>
      <c r="J115" s="3">
        <v>2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3" x14ac:dyDescent="0.3">
      <c r="A116" s="2" t="s">
        <v>153</v>
      </c>
      <c r="B116" s="3">
        <v>2</v>
      </c>
      <c r="C116" s="3"/>
      <c r="D116" s="3"/>
      <c r="E116" s="3"/>
      <c r="F116" s="3"/>
      <c r="G116" s="3"/>
      <c r="H116" s="3"/>
      <c r="I116" s="3"/>
      <c r="J116" s="3"/>
      <c r="K116" s="3">
        <v>2</v>
      </c>
      <c r="L116" s="3">
        <v>1</v>
      </c>
      <c r="M116" s="3"/>
      <c r="N116" s="3"/>
      <c r="O116" s="3"/>
      <c r="P116" s="3">
        <v>2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3" x14ac:dyDescent="0.3">
      <c r="A117" s="2" t="s">
        <v>154</v>
      </c>
      <c r="B117" s="3">
        <v>2</v>
      </c>
      <c r="C117" s="3"/>
      <c r="D117" s="3">
        <v>1</v>
      </c>
      <c r="E117" s="3"/>
      <c r="F117" s="3"/>
      <c r="G117" s="3">
        <v>2</v>
      </c>
      <c r="H117" s="3"/>
      <c r="I117" s="3"/>
      <c r="J117" s="3"/>
      <c r="K117" s="3"/>
      <c r="L117" s="3">
        <v>3</v>
      </c>
      <c r="M117" s="3"/>
      <c r="N117" s="3">
        <v>1</v>
      </c>
      <c r="O117" s="3"/>
      <c r="P117" s="3">
        <v>2</v>
      </c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3" x14ac:dyDescent="0.3">
      <c r="A118" s="2" t="s">
        <v>155</v>
      </c>
      <c r="B118" s="3">
        <v>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>
        <v>2</v>
      </c>
      <c r="N118" s="3">
        <v>2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3" x14ac:dyDescent="0.3">
      <c r="A119" s="2" t="s">
        <v>156</v>
      </c>
      <c r="B119" s="3">
        <v>1</v>
      </c>
      <c r="C119" s="3"/>
      <c r="D119" s="3">
        <v>2</v>
      </c>
      <c r="E119" s="3"/>
      <c r="F119" s="3"/>
      <c r="G119" s="3">
        <v>2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>
        <v>2</v>
      </c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3" x14ac:dyDescent="0.3">
      <c r="A120" s="2" t="s">
        <v>157</v>
      </c>
      <c r="B120" s="3"/>
      <c r="C120" s="3"/>
      <c r="D120" s="3">
        <v>3</v>
      </c>
      <c r="E120" s="3">
        <v>3</v>
      </c>
      <c r="F120" s="3">
        <v>3</v>
      </c>
      <c r="G120" s="3">
        <v>3</v>
      </c>
      <c r="H120" s="3">
        <v>2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3" x14ac:dyDescent="0.3">
      <c r="A121" s="2" t="s">
        <v>158</v>
      </c>
      <c r="B121" s="3">
        <v>2</v>
      </c>
      <c r="C121" s="3"/>
      <c r="D121" s="3">
        <v>2</v>
      </c>
      <c r="E121" s="3"/>
      <c r="F121" s="3"/>
      <c r="G121" s="3">
        <v>2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>
        <v>2</v>
      </c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3" x14ac:dyDescent="0.3">
      <c r="A122" s="11" t="s">
        <v>159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>
        <v>2</v>
      </c>
      <c r="T122" s="3">
        <v>3</v>
      </c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3" x14ac:dyDescent="0.3">
      <c r="A123" s="2" t="s">
        <v>160</v>
      </c>
      <c r="B123" s="3">
        <v>1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2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3" x14ac:dyDescent="0.3">
      <c r="A124" s="11" t="s">
        <v>161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>
        <v>2</v>
      </c>
      <c r="T124" s="3">
        <v>2</v>
      </c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3" x14ac:dyDescent="0.3">
      <c r="A125" s="11" t="s">
        <v>162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>
        <v>2</v>
      </c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3" x14ac:dyDescent="0.3">
      <c r="A126" s="17" t="s">
        <v>163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3" x14ac:dyDescent="0.3">
      <c r="A127" s="8" t="s">
        <v>164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>
        <v>2</v>
      </c>
      <c r="P127" s="3"/>
      <c r="Q127" s="3">
        <v>1</v>
      </c>
      <c r="R127" s="3">
        <v>3</v>
      </c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3" x14ac:dyDescent="0.3">
      <c r="A128" s="2" t="s">
        <v>165</v>
      </c>
      <c r="B128" s="3">
        <v>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>
        <v>2</v>
      </c>
      <c r="R128" s="3">
        <v>2</v>
      </c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3" x14ac:dyDescent="0.3">
      <c r="A129" s="11" t="s">
        <v>166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>
        <v>3</v>
      </c>
      <c r="T129" s="3">
        <v>3</v>
      </c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3" x14ac:dyDescent="0.3">
      <c r="A130" s="2" t="s">
        <v>167</v>
      </c>
      <c r="B130" s="3">
        <v>2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>
        <v>2</v>
      </c>
      <c r="R130" s="3">
        <v>2</v>
      </c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3" x14ac:dyDescent="0.3">
      <c r="A131" s="11" t="s">
        <v>168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>
        <v>3</v>
      </c>
      <c r="T131" s="3">
        <v>3</v>
      </c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3" x14ac:dyDescent="0.3">
      <c r="A132" s="11" t="s">
        <v>169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>
        <v>2</v>
      </c>
      <c r="T132" s="3">
        <v>2</v>
      </c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3" x14ac:dyDescent="0.3">
      <c r="A133" s="11" t="s">
        <v>170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>
        <v>2</v>
      </c>
      <c r="T133" s="3">
        <v>2</v>
      </c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3" x14ac:dyDescent="0.3">
      <c r="A134" s="2" t="s">
        <v>171</v>
      </c>
      <c r="B134" s="3">
        <v>2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>
        <v>2</v>
      </c>
      <c r="R134" s="3">
        <v>2</v>
      </c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3" x14ac:dyDescent="0.3">
      <c r="A135" s="8" t="s">
        <v>172</v>
      </c>
      <c r="B135" s="3"/>
      <c r="C135" s="3"/>
      <c r="D135" s="3"/>
      <c r="E135" s="3"/>
      <c r="F135" s="3"/>
      <c r="G135" s="3"/>
      <c r="H135" s="3"/>
      <c r="I135" s="3"/>
      <c r="J135" s="3">
        <v>3</v>
      </c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3" x14ac:dyDescent="0.3">
      <c r="A136" s="8" t="s">
        <v>173</v>
      </c>
      <c r="B136" s="3"/>
      <c r="C136" s="3"/>
      <c r="D136" s="3"/>
      <c r="E136" s="3"/>
      <c r="F136" s="3"/>
      <c r="G136" s="3"/>
      <c r="H136" s="3"/>
      <c r="I136" s="3"/>
      <c r="J136" s="3">
        <v>3</v>
      </c>
      <c r="K136" s="3"/>
      <c r="L136" s="3"/>
      <c r="M136" s="3"/>
      <c r="N136" s="3"/>
      <c r="O136" s="3"/>
      <c r="P136" s="3"/>
      <c r="Q136" s="3">
        <v>2</v>
      </c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3" x14ac:dyDescent="0.3">
      <c r="A137" s="8" t="s">
        <v>174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>
        <v>2</v>
      </c>
      <c r="Q137" s="3"/>
      <c r="R137" s="3">
        <v>2</v>
      </c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3" x14ac:dyDescent="0.3">
      <c r="X138" s="5"/>
    </row>
  </sheetData>
  <autoFilter ref="A1:AC1" xr:uid="{76DE0837-F9FF-4008-9207-D74B5B1CD4E5}">
    <sortState xmlns:xlrd2="http://schemas.microsoft.com/office/spreadsheetml/2017/richdata2" ref="A2:AC137">
      <sortCondition ref="A1"/>
    </sortState>
  </autoFilter>
  <conditionalFormatting sqref="B2:AC137">
    <cfRule type="cellIs" dxfId="11" priority="1" operator="equal">
      <formula>4</formula>
    </cfRule>
    <cfRule type="cellIs" dxfId="10" priority="2" operator="equal">
      <formula>3</formula>
    </cfRule>
    <cfRule type="cellIs" dxfId="9" priority="3" operator="equal">
      <formula>2</formula>
    </cfRule>
    <cfRule type="cellIs" dxfId="8" priority="4" operator="equal">
      <formula>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6C2A2-A4EA-469E-938B-77B7ACD563E2}">
  <sheetPr filterMode="1">
    <pageSetUpPr fitToPage="1"/>
  </sheetPr>
  <dimension ref="A1:GX396"/>
  <sheetViews>
    <sheetView tabSelected="1" zoomScale="140" zoomScaleNormal="140" workbookViewId="0">
      <pane xSplit="1" ySplit="3" topLeftCell="AJ19" activePane="bottomRight" state="frozen"/>
      <selection pane="topRight" activeCell="B1" sqref="B1"/>
      <selection pane="bottomLeft" activeCell="A4" sqref="A4"/>
      <selection pane="bottomRight" activeCell="AQ3" sqref="AQ3"/>
    </sheetView>
  </sheetViews>
  <sheetFormatPr defaultColWidth="31.54296875" defaultRowHeight="12.5" x14ac:dyDescent="0.25"/>
  <cols>
    <col min="1" max="1" width="21" style="1" bestFit="1" customWidth="1"/>
    <col min="2" max="51" width="3" style="1" customWidth="1"/>
    <col min="52" max="16384" width="31.54296875" style="1"/>
  </cols>
  <sheetData>
    <row r="1" spans="1:51" ht="23" x14ac:dyDescent="0.25">
      <c r="A1" s="35" t="s">
        <v>175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</row>
    <row r="2" spans="1:51" ht="23.5" thickBot="1" x14ac:dyDescent="0.3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</row>
    <row r="3" spans="1:51" ht="139" thickBot="1" x14ac:dyDescent="0.3">
      <c r="A3" s="18" t="s">
        <v>0</v>
      </c>
      <c r="B3" s="21" t="s">
        <v>1</v>
      </c>
      <c r="C3" s="21" t="s">
        <v>176</v>
      </c>
      <c r="D3" s="21" t="s">
        <v>177</v>
      </c>
      <c r="E3" s="21" t="s">
        <v>178</v>
      </c>
      <c r="F3" s="21" t="s">
        <v>2</v>
      </c>
      <c r="G3" s="21" t="s">
        <v>179</v>
      </c>
      <c r="H3" s="21" t="s">
        <v>7</v>
      </c>
      <c r="I3" s="21" t="s">
        <v>180</v>
      </c>
      <c r="J3" s="21" t="s">
        <v>3</v>
      </c>
      <c r="K3" s="21" t="s">
        <v>4</v>
      </c>
      <c r="L3" s="21" t="s">
        <v>181</v>
      </c>
      <c r="M3" s="21" t="s">
        <v>5</v>
      </c>
      <c r="N3" s="21" t="s">
        <v>182</v>
      </c>
      <c r="O3" s="21" t="s">
        <v>397</v>
      </c>
      <c r="P3" s="21" t="s">
        <v>398</v>
      </c>
      <c r="Q3" s="21" t="s">
        <v>6</v>
      </c>
      <c r="R3" s="21" t="s">
        <v>9</v>
      </c>
      <c r="S3" s="21" t="s">
        <v>183</v>
      </c>
      <c r="T3" s="21" t="s">
        <v>10</v>
      </c>
      <c r="U3" s="21" t="s">
        <v>184</v>
      </c>
      <c r="V3" s="21" t="s">
        <v>12</v>
      </c>
      <c r="W3" s="21" t="s">
        <v>14</v>
      </c>
      <c r="X3" s="21" t="s">
        <v>185</v>
      </c>
      <c r="Y3" s="21" t="s">
        <v>186</v>
      </c>
      <c r="Z3" s="21" t="s">
        <v>187</v>
      </c>
      <c r="AA3" s="21" t="s">
        <v>188</v>
      </c>
      <c r="AB3" s="21" t="s">
        <v>16</v>
      </c>
      <c r="AC3" s="21" t="s">
        <v>17</v>
      </c>
      <c r="AD3" s="21" t="s">
        <v>189</v>
      </c>
      <c r="AE3" s="21" t="s">
        <v>190</v>
      </c>
      <c r="AF3" s="21" t="s">
        <v>191</v>
      </c>
      <c r="AG3" s="21" t="s">
        <v>192</v>
      </c>
      <c r="AH3" s="21" t="s">
        <v>193</v>
      </c>
      <c r="AI3" s="21" t="s">
        <v>194</v>
      </c>
      <c r="AJ3" s="21" t="s">
        <v>195</v>
      </c>
      <c r="AK3" s="21" t="s">
        <v>196</v>
      </c>
      <c r="AL3" s="21" t="s">
        <v>197</v>
      </c>
      <c r="AM3" s="21" t="s">
        <v>198</v>
      </c>
      <c r="AN3" s="21" t="s">
        <v>199</v>
      </c>
      <c r="AO3" s="21" t="s">
        <v>416</v>
      </c>
      <c r="AP3" s="21" t="s">
        <v>200</v>
      </c>
      <c r="AQ3" s="21" t="s">
        <v>467</v>
      </c>
      <c r="AR3" s="21" t="s">
        <v>201</v>
      </c>
      <c r="AS3" s="21" t="s">
        <v>202</v>
      </c>
      <c r="AT3" s="21" t="s">
        <v>203</v>
      </c>
      <c r="AU3" s="21" t="s">
        <v>204</v>
      </c>
      <c r="AV3" s="21" t="s">
        <v>205</v>
      </c>
      <c r="AW3" s="21" t="s">
        <v>206</v>
      </c>
      <c r="AX3" s="21" t="s">
        <v>207</v>
      </c>
      <c r="AY3" s="21" t="s">
        <v>208</v>
      </c>
    </row>
    <row r="4" spans="1:51" ht="13" x14ac:dyDescent="0.3">
      <c r="A4" s="23" t="s">
        <v>209</v>
      </c>
      <c r="B4" s="20">
        <v>3</v>
      </c>
      <c r="C4" s="20">
        <v>3</v>
      </c>
      <c r="D4" s="20">
        <v>3</v>
      </c>
      <c r="E4" s="20">
        <v>3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>
        <v>1</v>
      </c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</row>
    <row r="5" spans="1:51" ht="13" x14ac:dyDescent="0.3">
      <c r="A5" s="23" t="s">
        <v>31</v>
      </c>
      <c r="B5" s="20"/>
      <c r="C5" s="20"/>
      <c r="D5" s="20"/>
      <c r="E5" s="20"/>
      <c r="F5" s="3"/>
      <c r="G5" s="3"/>
      <c r="H5" s="3">
        <v>4</v>
      </c>
      <c r="I5" s="3"/>
      <c r="J5" s="3"/>
      <c r="K5" s="3"/>
      <c r="L5" s="3"/>
      <c r="M5" s="3"/>
      <c r="N5" s="3">
        <v>4</v>
      </c>
      <c r="O5" s="3"/>
      <c r="P5" s="3"/>
      <c r="Q5" s="3"/>
      <c r="R5" s="3"/>
      <c r="S5" s="3"/>
      <c r="T5" s="3">
        <v>3</v>
      </c>
      <c r="U5" s="3">
        <v>3</v>
      </c>
      <c r="V5" s="3"/>
      <c r="W5" s="3"/>
      <c r="X5" s="3"/>
      <c r="Y5" s="3">
        <v>1</v>
      </c>
      <c r="Z5" s="3"/>
      <c r="AA5" s="3">
        <v>1</v>
      </c>
      <c r="AB5" s="3">
        <v>4</v>
      </c>
      <c r="AC5" s="3">
        <v>4</v>
      </c>
      <c r="AD5" s="3"/>
      <c r="AE5" s="3"/>
      <c r="AF5" s="3">
        <v>4</v>
      </c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>
        <v>1</v>
      </c>
      <c r="AS5" s="3">
        <v>1</v>
      </c>
      <c r="AT5" s="3"/>
      <c r="AU5" s="3"/>
      <c r="AV5" s="3"/>
      <c r="AW5" s="3"/>
      <c r="AX5" s="3"/>
      <c r="AY5" s="3"/>
    </row>
    <row r="6" spans="1:51" ht="13" x14ac:dyDescent="0.3">
      <c r="A6" s="23" t="s">
        <v>399</v>
      </c>
      <c r="B6" s="20"/>
      <c r="C6" s="20"/>
      <c r="D6" s="20"/>
      <c r="E6" s="20"/>
      <c r="F6" s="3"/>
      <c r="G6" s="3"/>
      <c r="H6" s="3"/>
      <c r="I6" s="3"/>
      <c r="J6" s="3"/>
      <c r="K6" s="3"/>
      <c r="L6" s="3"/>
      <c r="M6" s="3"/>
      <c r="N6" s="3"/>
      <c r="O6" s="3"/>
      <c r="P6" s="3">
        <v>1</v>
      </c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</row>
    <row r="7" spans="1:51" ht="13" x14ac:dyDescent="0.3">
      <c r="A7" s="23" t="s">
        <v>425</v>
      </c>
      <c r="B7" s="20"/>
      <c r="C7" s="20"/>
      <c r="D7" s="20"/>
      <c r="E7" s="20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>
        <v>4</v>
      </c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</row>
    <row r="8" spans="1:51" ht="13" x14ac:dyDescent="0.3">
      <c r="A8" s="23" t="s">
        <v>439</v>
      </c>
      <c r="B8" s="20"/>
      <c r="C8" s="20"/>
      <c r="D8" s="20"/>
      <c r="E8" s="20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>
        <v>4</v>
      </c>
      <c r="AP8" s="3"/>
      <c r="AQ8" s="3"/>
      <c r="AR8" s="3"/>
      <c r="AS8" s="3"/>
      <c r="AT8" s="3"/>
      <c r="AU8" s="3"/>
      <c r="AV8" s="3"/>
      <c r="AW8" s="3"/>
      <c r="AX8" s="3"/>
      <c r="AY8" s="3"/>
    </row>
    <row r="9" spans="1:51" ht="13" x14ac:dyDescent="0.3">
      <c r="A9" s="23" t="s">
        <v>210</v>
      </c>
      <c r="B9" s="20"/>
      <c r="C9" s="20"/>
      <c r="D9" s="20"/>
      <c r="E9" s="20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>
        <v>1</v>
      </c>
      <c r="AX9" s="3"/>
      <c r="AY9" s="3"/>
    </row>
    <row r="10" spans="1:51" ht="13" x14ac:dyDescent="0.3">
      <c r="A10" s="23" t="s">
        <v>211</v>
      </c>
      <c r="B10" s="20"/>
      <c r="C10" s="20"/>
      <c r="D10" s="20"/>
      <c r="E10" s="20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</v>
      </c>
      <c r="AS10" s="3"/>
      <c r="AT10" s="3"/>
      <c r="AU10" s="3"/>
      <c r="AV10" s="3"/>
      <c r="AW10" s="3"/>
      <c r="AX10" s="3"/>
      <c r="AY10" s="3"/>
    </row>
    <row r="11" spans="1:51" ht="13" x14ac:dyDescent="0.3">
      <c r="A11" s="23" t="s">
        <v>212</v>
      </c>
      <c r="B11" s="20"/>
      <c r="C11" s="20"/>
      <c r="D11" s="20"/>
      <c r="E11" s="20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>
        <v>1</v>
      </c>
      <c r="AQ11" s="3"/>
      <c r="AR11" s="3">
        <v>1</v>
      </c>
      <c r="AS11" s="3">
        <v>1</v>
      </c>
      <c r="AT11" s="3">
        <v>1</v>
      </c>
      <c r="AU11" s="3"/>
      <c r="AV11" s="3">
        <v>1</v>
      </c>
      <c r="AW11" s="3"/>
      <c r="AX11" s="3"/>
      <c r="AY11" s="3"/>
    </row>
    <row r="12" spans="1:51" ht="13" x14ac:dyDescent="0.3">
      <c r="A12" s="23" t="s">
        <v>213</v>
      </c>
      <c r="B12" s="20"/>
      <c r="C12" s="20"/>
      <c r="D12" s="20"/>
      <c r="E12" s="20"/>
      <c r="F12" s="3"/>
      <c r="G12" s="3"/>
      <c r="H12" s="3">
        <v>1</v>
      </c>
      <c r="I12" s="3"/>
      <c r="J12" s="3"/>
      <c r="K12" s="3"/>
      <c r="L12" s="3"/>
      <c r="M12" s="3"/>
      <c r="N12" s="3"/>
      <c r="O12" s="3">
        <v>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>
        <v>1</v>
      </c>
      <c r="AC12" s="3">
        <v>1</v>
      </c>
      <c r="AD12" s="3"/>
      <c r="AE12" s="3"/>
      <c r="AF12" s="3">
        <v>1</v>
      </c>
      <c r="AG12" s="3"/>
      <c r="AH12" s="3"/>
      <c r="AI12" s="3"/>
      <c r="AJ12" s="3"/>
      <c r="AK12" s="3">
        <v>1</v>
      </c>
      <c r="AL12" s="3"/>
      <c r="AM12" s="3">
        <v>4</v>
      </c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</row>
    <row r="13" spans="1:51" ht="13" x14ac:dyDescent="0.3">
      <c r="A13" s="23" t="s">
        <v>214</v>
      </c>
      <c r="B13" s="20"/>
      <c r="C13" s="20"/>
      <c r="D13" s="20"/>
      <c r="E13" s="20"/>
      <c r="F13" s="3"/>
      <c r="G13" s="3"/>
      <c r="H13" s="3"/>
      <c r="I13" s="3">
        <v>1</v>
      </c>
      <c r="J13" s="3"/>
      <c r="K13" s="3"/>
      <c r="L13" s="3"/>
      <c r="M13" s="3"/>
      <c r="N13" s="3"/>
      <c r="O13" s="3"/>
      <c r="P13" s="3"/>
      <c r="Q13" s="3"/>
      <c r="R13" s="3">
        <v>1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>
        <v>1</v>
      </c>
      <c r="AS13" s="3"/>
      <c r="AT13" s="3"/>
      <c r="AU13" s="3"/>
      <c r="AV13" s="3"/>
      <c r="AW13" s="3"/>
      <c r="AX13" s="3"/>
      <c r="AY13" s="3"/>
    </row>
    <row r="14" spans="1:51" ht="13" x14ac:dyDescent="0.3">
      <c r="A14" s="23" t="s">
        <v>383</v>
      </c>
      <c r="B14" s="20"/>
      <c r="C14" s="20"/>
      <c r="D14" s="20">
        <v>1</v>
      </c>
      <c r="E14" s="20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</row>
    <row r="15" spans="1:51" ht="13" x14ac:dyDescent="0.3">
      <c r="A15" s="23" t="s">
        <v>402</v>
      </c>
      <c r="B15" s="20"/>
      <c r="C15" s="20"/>
      <c r="D15" s="20"/>
      <c r="E15" s="20"/>
      <c r="F15" s="3"/>
      <c r="G15" s="3"/>
      <c r="H15" s="3"/>
      <c r="I15" s="3"/>
      <c r="J15" s="3">
        <v>4</v>
      </c>
      <c r="K15" s="3"/>
      <c r="L15" s="3"/>
      <c r="M15" s="3"/>
      <c r="N15" s="3"/>
      <c r="O15" s="3"/>
      <c r="P15" s="3"/>
      <c r="Q15" s="3">
        <v>4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>
        <v>4</v>
      </c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</row>
    <row r="16" spans="1:51" ht="13" x14ac:dyDescent="0.3">
      <c r="A16" s="23" t="s">
        <v>215</v>
      </c>
      <c r="B16" s="20"/>
      <c r="C16" s="20"/>
      <c r="D16" s="20"/>
      <c r="E16" s="20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>
        <v>4</v>
      </c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</row>
    <row r="17" spans="1:51" ht="13" x14ac:dyDescent="0.3">
      <c r="A17" s="23" t="s">
        <v>34</v>
      </c>
      <c r="B17" s="20">
        <v>3</v>
      </c>
      <c r="C17" s="20"/>
      <c r="D17" s="20"/>
      <c r="E17" s="20"/>
      <c r="F17" s="3"/>
      <c r="G17" s="3"/>
      <c r="H17" s="3"/>
      <c r="I17" s="3"/>
      <c r="J17" s="3">
        <v>1</v>
      </c>
      <c r="K17" s="3"/>
      <c r="L17" s="3"/>
      <c r="M17" s="3"/>
      <c r="N17" s="3"/>
      <c r="O17" s="3"/>
      <c r="P17" s="3"/>
      <c r="Q17" s="3">
        <v>1</v>
      </c>
      <c r="R17" s="3"/>
      <c r="S17" s="3"/>
      <c r="T17" s="3"/>
      <c r="U17" s="3"/>
      <c r="V17" s="3"/>
      <c r="W17" s="3"/>
      <c r="X17" s="3">
        <v>1</v>
      </c>
      <c r="Y17" s="3">
        <v>2</v>
      </c>
      <c r="Z17" s="3"/>
      <c r="AA17" s="3">
        <v>2</v>
      </c>
      <c r="AB17" s="3">
        <v>1</v>
      </c>
      <c r="AC17" s="3">
        <v>1</v>
      </c>
      <c r="AD17" s="3"/>
      <c r="AE17" s="3"/>
      <c r="AF17" s="3"/>
      <c r="AG17" s="3">
        <v>1</v>
      </c>
      <c r="AH17" s="3"/>
      <c r="AI17" s="3"/>
      <c r="AJ17" s="3"/>
      <c r="AK17" s="3"/>
      <c r="AL17" s="3"/>
      <c r="AM17" s="3">
        <v>1</v>
      </c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</row>
    <row r="18" spans="1:51" ht="13" x14ac:dyDescent="0.3">
      <c r="A18" s="23" t="s">
        <v>216</v>
      </c>
      <c r="B18" s="20"/>
      <c r="C18" s="20"/>
      <c r="D18" s="20"/>
      <c r="E18" s="20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>
        <v>4</v>
      </c>
      <c r="AC18" s="3">
        <v>4</v>
      </c>
      <c r="AD18" s="3"/>
      <c r="AE18" s="3"/>
      <c r="AF18" s="3"/>
      <c r="AG18" s="3"/>
      <c r="AH18" s="3"/>
      <c r="AI18" s="3"/>
      <c r="AJ18" s="3"/>
      <c r="AK18" s="3">
        <v>1</v>
      </c>
      <c r="AL18" s="3"/>
      <c r="AM18" s="3">
        <v>1</v>
      </c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</row>
    <row r="19" spans="1:51" ht="13" x14ac:dyDescent="0.3">
      <c r="A19" s="23" t="s">
        <v>460</v>
      </c>
      <c r="B19" s="20"/>
      <c r="C19" s="20"/>
      <c r="D19" s="20"/>
      <c r="E19" s="20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>
        <v>4</v>
      </c>
      <c r="AC19" s="3">
        <v>4</v>
      </c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</row>
    <row r="20" spans="1:51" ht="13" x14ac:dyDescent="0.3">
      <c r="A20" s="23" t="s">
        <v>217</v>
      </c>
      <c r="B20" s="20"/>
      <c r="C20" s="20"/>
      <c r="D20" s="20"/>
      <c r="E20" s="20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>
        <v>4</v>
      </c>
      <c r="AQ20" s="3"/>
      <c r="AR20" s="3"/>
      <c r="AS20" s="3"/>
      <c r="AT20" s="3"/>
      <c r="AU20" s="3"/>
      <c r="AV20" s="3"/>
      <c r="AW20" s="3"/>
      <c r="AX20" s="3"/>
      <c r="AY20" s="3"/>
    </row>
    <row r="21" spans="1:51" ht="13" x14ac:dyDescent="0.3">
      <c r="A21" s="23" t="s">
        <v>218</v>
      </c>
      <c r="B21" s="20"/>
      <c r="C21" s="20"/>
      <c r="D21" s="20"/>
      <c r="E21" s="20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>
        <v>1</v>
      </c>
      <c r="AS21" s="3">
        <v>1</v>
      </c>
      <c r="AT21" s="3">
        <v>1</v>
      </c>
      <c r="AU21" s="3"/>
      <c r="AV21" s="3"/>
      <c r="AW21" s="3">
        <v>1</v>
      </c>
      <c r="AX21" s="3"/>
      <c r="AY21" s="3"/>
    </row>
    <row r="22" spans="1:51" ht="13" x14ac:dyDescent="0.3">
      <c r="A22" s="23" t="s">
        <v>37</v>
      </c>
      <c r="B22" s="20"/>
      <c r="C22" s="20"/>
      <c r="D22" s="20"/>
      <c r="E22" s="20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1</v>
      </c>
      <c r="W22" s="3"/>
      <c r="X22" s="3"/>
      <c r="Y22" s="3"/>
      <c r="Z22" s="3">
        <v>3</v>
      </c>
      <c r="AA22" s="3">
        <v>3</v>
      </c>
      <c r="AB22" s="3">
        <v>3</v>
      </c>
      <c r="AC22" s="3">
        <v>3</v>
      </c>
      <c r="AD22" s="3"/>
      <c r="AE22" s="3"/>
      <c r="AF22" s="3">
        <v>2</v>
      </c>
      <c r="AG22" s="3"/>
      <c r="AH22" s="3"/>
      <c r="AI22" s="3"/>
      <c r="AJ22" s="3">
        <v>2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</row>
    <row r="23" spans="1:51" ht="13" x14ac:dyDescent="0.3">
      <c r="A23" s="23" t="s">
        <v>220</v>
      </c>
      <c r="B23" s="20"/>
      <c r="C23" s="20"/>
      <c r="D23" s="20"/>
      <c r="E23" s="20"/>
      <c r="F23" s="3"/>
      <c r="G23" s="3"/>
      <c r="H23" s="3"/>
      <c r="I23" s="3"/>
      <c r="J23" s="3">
        <v>1</v>
      </c>
      <c r="K23" s="3"/>
      <c r="L23" s="3"/>
      <c r="M23" s="3"/>
      <c r="N23" s="3"/>
      <c r="O23" s="3"/>
      <c r="P23" s="3"/>
      <c r="Q23" s="3">
        <v>1</v>
      </c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>
        <v>1</v>
      </c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</row>
    <row r="24" spans="1:51" ht="13" x14ac:dyDescent="0.3">
      <c r="A24" s="23" t="s">
        <v>426</v>
      </c>
      <c r="B24" s="20"/>
      <c r="C24" s="20"/>
      <c r="D24" s="20"/>
      <c r="E24" s="20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>
        <v>4</v>
      </c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</row>
    <row r="25" spans="1:51" ht="13" x14ac:dyDescent="0.3">
      <c r="A25" s="23" t="s">
        <v>221</v>
      </c>
      <c r="B25" s="20"/>
      <c r="C25" s="20"/>
      <c r="D25" s="20"/>
      <c r="E25" s="20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>
        <v>1</v>
      </c>
      <c r="AX25" s="3"/>
      <c r="AY25" s="3"/>
    </row>
    <row r="26" spans="1:51" ht="13" x14ac:dyDescent="0.3">
      <c r="A26" s="23" t="s">
        <v>38</v>
      </c>
      <c r="B26" s="20">
        <v>1</v>
      </c>
      <c r="C26" s="20"/>
      <c r="D26" s="20"/>
      <c r="E26" s="20"/>
      <c r="F26" s="3"/>
      <c r="G26" s="3"/>
      <c r="H26" s="3"/>
      <c r="I26" s="3"/>
      <c r="J26" s="3">
        <v>3</v>
      </c>
      <c r="K26" s="3"/>
      <c r="L26" s="3"/>
      <c r="M26" s="3"/>
      <c r="N26" s="3"/>
      <c r="O26" s="3"/>
      <c r="P26" s="3"/>
      <c r="Q26" s="3">
        <v>3</v>
      </c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>
        <v>2</v>
      </c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</row>
    <row r="27" spans="1:51" ht="13" x14ac:dyDescent="0.3">
      <c r="A27" s="23" t="s">
        <v>222</v>
      </c>
      <c r="B27" s="20"/>
      <c r="C27" s="20"/>
      <c r="D27" s="20"/>
      <c r="E27" s="20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>
        <v>1</v>
      </c>
      <c r="AX27" s="3"/>
      <c r="AY27" s="3"/>
    </row>
    <row r="28" spans="1:51" ht="13" x14ac:dyDescent="0.3">
      <c r="A28" s="23" t="s">
        <v>223</v>
      </c>
      <c r="B28" s="20"/>
      <c r="C28" s="20"/>
      <c r="D28" s="20"/>
      <c r="E28" s="20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>
        <v>1</v>
      </c>
      <c r="AQ28" s="3"/>
      <c r="AR28" s="3"/>
      <c r="AS28" s="3"/>
      <c r="AT28" s="3">
        <v>1</v>
      </c>
      <c r="AU28" s="3"/>
      <c r="AV28" s="3"/>
      <c r="AW28" s="3"/>
      <c r="AX28" s="3"/>
      <c r="AY28" s="3"/>
    </row>
    <row r="29" spans="1:51" ht="13" x14ac:dyDescent="0.3">
      <c r="A29" s="23" t="s">
        <v>224</v>
      </c>
      <c r="B29" s="20">
        <v>3</v>
      </c>
      <c r="C29" s="20">
        <v>3</v>
      </c>
      <c r="D29" s="20"/>
      <c r="E29" s="20">
        <v>3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>
        <v>1</v>
      </c>
      <c r="AQ29" s="3"/>
      <c r="AR29" s="3"/>
      <c r="AS29" s="3"/>
      <c r="AT29" s="3"/>
      <c r="AU29" s="3"/>
      <c r="AV29" s="3"/>
      <c r="AW29" s="3"/>
      <c r="AX29" s="3"/>
      <c r="AY29" s="3"/>
    </row>
    <row r="30" spans="1:51" ht="13" x14ac:dyDescent="0.3">
      <c r="A30" s="23" t="s">
        <v>443</v>
      </c>
      <c r="B30" s="20"/>
      <c r="C30" s="20"/>
      <c r="D30" s="20"/>
      <c r="E30" s="20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>
        <v>4</v>
      </c>
      <c r="AC30" s="3">
        <v>4</v>
      </c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</row>
    <row r="31" spans="1:51" ht="13" x14ac:dyDescent="0.3">
      <c r="A31" s="23" t="s">
        <v>225</v>
      </c>
      <c r="B31" s="20"/>
      <c r="C31" s="20"/>
      <c r="D31" s="20"/>
      <c r="E31" s="20"/>
      <c r="F31" s="3"/>
      <c r="G31" s="3"/>
      <c r="H31" s="3"/>
      <c r="I31" s="3"/>
      <c r="J31" s="3">
        <v>1</v>
      </c>
      <c r="K31" s="3"/>
      <c r="L31" s="3"/>
      <c r="M31" s="3"/>
      <c r="N31" s="3"/>
      <c r="O31" s="3"/>
      <c r="P31" s="3"/>
      <c r="Q31" s="3">
        <v>1</v>
      </c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>
        <v>1</v>
      </c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</row>
    <row r="32" spans="1:51" ht="13" x14ac:dyDescent="0.3">
      <c r="A32" s="23" t="s">
        <v>226</v>
      </c>
      <c r="B32" s="20"/>
      <c r="C32" s="20"/>
      <c r="D32" s="20"/>
      <c r="E32" s="20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>
        <v>1</v>
      </c>
      <c r="AL32" s="3"/>
      <c r="AM32" s="3">
        <v>1</v>
      </c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</row>
    <row r="33" spans="1:51" ht="13" x14ac:dyDescent="0.3">
      <c r="A33" s="23" t="s">
        <v>44</v>
      </c>
      <c r="B33" s="20"/>
      <c r="C33" s="20"/>
      <c r="D33" s="20"/>
      <c r="E33" s="20"/>
      <c r="F33" s="3"/>
      <c r="G33" s="3"/>
      <c r="H33" s="3">
        <v>1</v>
      </c>
      <c r="I33" s="3"/>
      <c r="J33" s="3">
        <v>3</v>
      </c>
      <c r="K33" s="3"/>
      <c r="L33" s="3">
        <v>1</v>
      </c>
      <c r="M33" s="3"/>
      <c r="N33" s="3"/>
      <c r="O33" s="3"/>
      <c r="P33" s="3"/>
      <c r="Q33" s="3">
        <v>3</v>
      </c>
      <c r="R33" s="3"/>
      <c r="S33" s="3">
        <v>1</v>
      </c>
      <c r="T33" s="3"/>
      <c r="U33" s="3"/>
      <c r="V33" s="3"/>
      <c r="W33" s="3"/>
      <c r="X33" s="3"/>
      <c r="Y33" s="3"/>
      <c r="Z33" s="3"/>
      <c r="AA33" s="3"/>
      <c r="AB33" s="3"/>
      <c r="AC33" s="3"/>
      <c r="AD33" s="3">
        <v>1</v>
      </c>
      <c r="AE33" s="3"/>
      <c r="AF33" s="3"/>
      <c r="AG33" s="3">
        <v>2</v>
      </c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</row>
    <row r="34" spans="1:51" ht="13" x14ac:dyDescent="0.3">
      <c r="A34" s="23" t="s">
        <v>227</v>
      </c>
      <c r="B34" s="20"/>
      <c r="C34" s="20"/>
      <c r="D34" s="20"/>
      <c r="E34" s="20"/>
      <c r="F34" s="3"/>
      <c r="G34" s="3"/>
      <c r="H34" s="3"/>
      <c r="I34" s="3"/>
      <c r="J34" s="3">
        <v>1</v>
      </c>
      <c r="K34" s="3"/>
      <c r="L34" s="3"/>
      <c r="M34" s="3"/>
      <c r="N34" s="3"/>
      <c r="O34" s="3"/>
      <c r="P34" s="3"/>
      <c r="Q34" s="3">
        <v>1</v>
      </c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>
        <v>1</v>
      </c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</row>
    <row r="35" spans="1:51" ht="13" x14ac:dyDescent="0.3">
      <c r="A35" s="23" t="s">
        <v>228</v>
      </c>
      <c r="B35" s="20"/>
      <c r="C35" s="20"/>
      <c r="D35" s="20"/>
      <c r="E35" s="20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>
        <v>1</v>
      </c>
      <c r="AS35" s="3"/>
      <c r="AT35" s="3"/>
      <c r="AU35" s="3"/>
      <c r="AV35" s="3"/>
      <c r="AW35" s="3"/>
      <c r="AX35" s="3"/>
      <c r="AY35" s="3"/>
    </row>
    <row r="36" spans="1:51" ht="13" x14ac:dyDescent="0.3">
      <c r="A36" s="23" t="s">
        <v>452</v>
      </c>
      <c r="B36" s="20"/>
      <c r="C36" s="20"/>
      <c r="D36" s="20"/>
      <c r="E36" s="20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>
        <v>4</v>
      </c>
      <c r="AC36" s="3">
        <v>4</v>
      </c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</row>
    <row r="37" spans="1:51" ht="13" x14ac:dyDescent="0.3">
      <c r="A37" s="23" t="s">
        <v>229</v>
      </c>
      <c r="B37" s="20"/>
      <c r="C37" s="20"/>
      <c r="D37" s="20"/>
      <c r="E37" s="20"/>
      <c r="F37" s="3"/>
      <c r="G37" s="3"/>
      <c r="H37" s="3"/>
      <c r="I37" s="3"/>
      <c r="J37" s="3"/>
      <c r="K37" s="3"/>
      <c r="L37" s="3"/>
      <c r="M37" s="3"/>
      <c r="N37" s="3"/>
      <c r="O37" s="3">
        <v>1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>
        <v>1</v>
      </c>
      <c r="AS37" s="3"/>
      <c r="AT37" s="3"/>
      <c r="AU37" s="3"/>
      <c r="AV37" s="3"/>
      <c r="AW37" s="3"/>
      <c r="AX37" s="3"/>
      <c r="AY37" s="3"/>
    </row>
    <row r="38" spans="1:51" ht="13" x14ac:dyDescent="0.3">
      <c r="A38" s="23" t="s">
        <v>230</v>
      </c>
      <c r="B38" s="20"/>
      <c r="C38" s="20"/>
      <c r="D38" s="20"/>
      <c r="E38" s="20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>
        <v>1</v>
      </c>
      <c r="AT38" s="3"/>
      <c r="AU38" s="3"/>
      <c r="AV38" s="3"/>
      <c r="AW38" s="3">
        <v>1</v>
      </c>
      <c r="AX38" s="3"/>
      <c r="AY38" s="3"/>
    </row>
    <row r="39" spans="1:51" ht="13" x14ac:dyDescent="0.3">
      <c r="A39" s="23" t="s">
        <v>442</v>
      </c>
      <c r="B39" s="20"/>
      <c r="C39" s="20"/>
      <c r="D39" s="20"/>
      <c r="E39" s="20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>
        <v>1</v>
      </c>
      <c r="AS39" s="3">
        <v>1</v>
      </c>
      <c r="AT39" s="3"/>
      <c r="AU39" s="3">
        <v>1</v>
      </c>
      <c r="AV39" s="3"/>
      <c r="AW39" s="3"/>
      <c r="AX39" s="3"/>
      <c r="AY39" s="3"/>
    </row>
    <row r="40" spans="1:51" ht="13" x14ac:dyDescent="0.3">
      <c r="A40" s="23" t="s">
        <v>48</v>
      </c>
      <c r="B40" s="20"/>
      <c r="C40" s="20"/>
      <c r="D40" s="20"/>
      <c r="E40" s="20"/>
      <c r="F40" s="3"/>
      <c r="G40" s="3"/>
      <c r="H40" s="3"/>
      <c r="I40" s="3"/>
      <c r="J40" s="3">
        <v>1</v>
      </c>
      <c r="K40" s="3"/>
      <c r="L40" s="3"/>
      <c r="M40" s="3"/>
      <c r="N40" s="3"/>
      <c r="O40" s="3"/>
      <c r="P40" s="3"/>
      <c r="Q40" s="3">
        <v>1</v>
      </c>
      <c r="R40" s="3"/>
      <c r="S40" s="3"/>
      <c r="T40" s="3"/>
      <c r="U40" s="3"/>
      <c r="V40" s="3"/>
      <c r="W40" s="3"/>
      <c r="X40" s="3"/>
      <c r="Y40" s="3"/>
      <c r="Z40" s="3"/>
      <c r="AA40" s="3"/>
      <c r="AB40" s="3">
        <v>1</v>
      </c>
      <c r="AC40" s="3">
        <v>1</v>
      </c>
      <c r="AD40" s="3"/>
      <c r="AE40" s="3"/>
      <c r="AF40" s="3">
        <v>1</v>
      </c>
      <c r="AG40" s="3">
        <v>1</v>
      </c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</row>
    <row r="41" spans="1:51" ht="13" x14ac:dyDescent="0.3">
      <c r="A41" s="23" t="s">
        <v>375</v>
      </c>
      <c r="B41" s="20">
        <v>1</v>
      </c>
      <c r="C41" s="20"/>
      <c r="D41" s="20"/>
      <c r="E41" s="20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</row>
    <row r="42" spans="1:51" ht="13" x14ac:dyDescent="0.3">
      <c r="A42" s="23" t="s">
        <v>435</v>
      </c>
      <c r="B42" s="20"/>
      <c r="C42" s="20"/>
      <c r="D42" s="20"/>
      <c r="E42" s="20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>
        <v>4</v>
      </c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</row>
    <row r="43" spans="1:51" ht="13" x14ac:dyDescent="0.3">
      <c r="A43" s="23" t="s">
        <v>231</v>
      </c>
      <c r="B43" s="20"/>
      <c r="C43" s="20"/>
      <c r="D43" s="20"/>
      <c r="E43" s="20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>
        <v>1</v>
      </c>
      <c r="AQ43" s="3"/>
      <c r="AR43" s="3"/>
      <c r="AS43" s="3">
        <v>1</v>
      </c>
      <c r="AT43" s="3">
        <v>1</v>
      </c>
      <c r="AU43" s="3"/>
      <c r="AV43" s="3"/>
      <c r="AW43" s="3"/>
      <c r="AX43" s="3"/>
      <c r="AY43" s="3">
        <v>1</v>
      </c>
    </row>
    <row r="44" spans="1:51" ht="13" x14ac:dyDescent="0.3">
      <c r="A44" s="23" t="s">
        <v>49</v>
      </c>
      <c r="B44" s="20"/>
      <c r="C44" s="20"/>
      <c r="D44" s="20"/>
      <c r="E44" s="20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>
        <v>3</v>
      </c>
      <c r="X44" s="3">
        <v>1</v>
      </c>
      <c r="Y44" s="3">
        <v>1</v>
      </c>
      <c r="Z44" s="3"/>
      <c r="AA44" s="3"/>
      <c r="AB44" s="3">
        <v>2</v>
      </c>
      <c r="AC44" s="3">
        <v>3</v>
      </c>
      <c r="AD44" s="3"/>
      <c r="AE44" s="3"/>
      <c r="AF44" s="3">
        <v>2</v>
      </c>
      <c r="AG44" s="3"/>
      <c r="AH44" s="3"/>
      <c r="AI44" s="3"/>
      <c r="AJ44" s="3">
        <v>2</v>
      </c>
      <c r="AK44" s="3"/>
      <c r="AL44" s="3"/>
      <c r="AM44" s="3"/>
      <c r="AN44" s="3"/>
      <c r="AO44" s="3"/>
      <c r="AP44" s="3">
        <v>1</v>
      </c>
      <c r="AQ44" s="3"/>
      <c r="AR44" s="3"/>
      <c r="AS44" s="3"/>
      <c r="AT44" s="3">
        <v>1</v>
      </c>
      <c r="AU44" s="3"/>
      <c r="AV44" s="3"/>
      <c r="AW44" s="3"/>
      <c r="AX44" s="3"/>
      <c r="AY44" s="3"/>
    </row>
    <row r="45" spans="1:51" ht="13" x14ac:dyDescent="0.3">
      <c r="A45" s="23" t="s">
        <v>50</v>
      </c>
      <c r="B45" s="20">
        <v>2</v>
      </c>
      <c r="C45" s="20"/>
      <c r="D45" s="20"/>
      <c r="E45" s="20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>
        <v>1</v>
      </c>
      <c r="Y45" s="3">
        <v>1</v>
      </c>
      <c r="Z45" s="3"/>
      <c r="AA45" s="3"/>
      <c r="AB45" s="3">
        <v>2</v>
      </c>
      <c r="AC45" s="3">
        <v>2</v>
      </c>
      <c r="AD45" s="3"/>
      <c r="AE45" s="3"/>
      <c r="AF45" s="3">
        <v>2</v>
      </c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</row>
    <row r="46" spans="1:51" ht="13" x14ac:dyDescent="0.3">
      <c r="A46" s="23" t="s">
        <v>232</v>
      </c>
      <c r="B46" s="20"/>
      <c r="C46" s="20"/>
      <c r="D46" s="20"/>
      <c r="E46" s="20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>
        <v>1</v>
      </c>
      <c r="AU46" s="3"/>
      <c r="AV46" s="3"/>
      <c r="AW46" s="3">
        <v>1</v>
      </c>
      <c r="AX46" s="3"/>
      <c r="AY46" s="3"/>
    </row>
    <row r="47" spans="1:51" ht="13" x14ac:dyDescent="0.3">
      <c r="A47" s="23" t="s">
        <v>431</v>
      </c>
      <c r="B47" s="20"/>
      <c r="C47" s="20"/>
      <c r="D47" s="20"/>
      <c r="E47" s="20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>
        <v>4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</row>
    <row r="48" spans="1:51" ht="13" x14ac:dyDescent="0.3">
      <c r="A48" s="23" t="s">
        <v>233</v>
      </c>
      <c r="B48" s="20"/>
      <c r="C48" s="20"/>
      <c r="D48" s="20"/>
      <c r="E48" s="20"/>
      <c r="F48" s="3">
        <v>1</v>
      </c>
      <c r="G48" s="3"/>
      <c r="H48" s="3">
        <v>3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>
        <v>1</v>
      </c>
      <c r="AS48" s="3">
        <v>1</v>
      </c>
      <c r="AT48" s="3"/>
      <c r="AU48" s="3"/>
      <c r="AV48" s="3">
        <v>1</v>
      </c>
      <c r="AW48" s="3">
        <v>4</v>
      </c>
      <c r="AX48" s="3"/>
      <c r="AY48" s="3"/>
    </row>
    <row r="49" spans="1:51" ht="13" x14ac:dyDescent="0.3">
      <c r="A49" s="23" t="s">
        <v>234</v>
      </c>
      <c r="B49" s="20"/>
      <c r="C49" s="20"/>
      <c r="D49" s="20"/>
      <c r="E49" s="20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>
        <v>1</v>
      </c>
      <c r="Y49" s="3">
        <v>1</v>
      </c>
      <c r="Z49" s="3"/>
      <c r="AA49" s="3"/>
      <c r="AB49" s="3">
        <v>2</v>
      </c>
      <c r="AC49" s="3">
        <v>2</v>
      </c>
      <c r="AD49" s="3"/>
      <c r="AE49" s="3"/>
      <c r="AF49" s="3">
        <v>2</v>
      </c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</row>
    <row r="50" spans="1:51" ht="13" x14ac:dyDescent="0.3">
      <c r="A50" s="23" t="s">
        <v>51</v>
      </c>
      <c r="B50" s="20">
        <v>3</v>
      </c>
      <c r="C50" s="20"/>
      <c r="D50" s="20"/>
      <c r="E50" s="20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>
        <v>1</v>
      </c>
      <c r="R50" s="3"/>
      <c r="S50" s="3"/>
      <c r="T50" s="3"/>
      <c r="U50" s="3"/>
      <c r="V50" s="3">
        <v>2</v>
      </c>
      <c r="W50" s="3"/>
      <c r="X50" s="3">
        <v>3</v>
      </c>
      <c r="Y50" s="3">
        <v>1</v>
      </c>
      <c r="Z50" s="3">
        <v>3</v>
      </c>
      <c r="AA50" s="3">
        <v>1</v>
      </c>
      <c r="AB50" s="3">
        <v>1</v>
      </c>
      <c r="AC50" s="3">
        <v>1</v>
      </c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</row>
    <row r="51" spans="1:51" ht="13" x14ac:dyDescent="0.3">
      <c r="A51" s="23" t="s">
        <v>438</v>
      </c>
      <c r="B51" s="20"/>
      <c r="C51" s="20"/>
      <c r="D51" s="20"/>
      <c r="E51" s="20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>
        <v>4</v>
      </c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</row>
    <row r="52" spans="1:51" ht="13" x14ac:dyDescent="0.3">
      <c r="A52" s="23" t="s">
        <v>52</v>
      </c>
      <c r="B52" s="20"/>
      <c r="C52" s="20"/>
      <c r="D52" s="20"/>
      <c r="E52" s="20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>
        <v>2</v>
      </c>
      <c r="Z52" s="3"/>
      <c r="AA52" s="3">
        <v>2</v>
      </c>
      <c r="AB52" s="3"/>
      <c r="AC52" s="3"/>
      <c r="AD52" s="3"/>
      <c r="AE52" s="3"/>
      <c r="AF52" s="3"/>
      <c r="AG52" s="3"/>
      <c r="AH52" s="3"/>
      <c r="AI52" s="3"/>
      <c r="AJ52" s="3"/>
      <c r="AK52" s="3">
        <v>1</v>
      </c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</row>
    <row r="53" spans="1:51" ht="13" x14ac:dyDescent="0.3">
      <c r="A53" s="23" t="s">
        <v>235</v>
      </c>
      <c r="B53" s="20"/>
      <c r="C53" s="20"/>
      <c r="D53" s="20"/>
      <c r="E53" s="20"/>
      <c r="F53" s="3"/>
      <c r="G53" s="3"/>
      <c r="H53" s="3"/>
      <c r="I53" s="3"/>
      <c r="J53" s="3"/>
      <c r="K53" s="3"/>
      <c r="L53" s="3"/>
      <c r="M53" s="3"/>
      <c r="N53" s="3"/>
      <c r="O53" s="3">
        <v>1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>
        <v>1</v>
      </c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</row>
    <row r="54" spans="1:51" ht="13" x14ac:dyDescent="0.3">
      <c r="A54" s="23" t="s">
        <v>53</v>
      </c>
      <c r="B54" s="20"/>
      <c r="C54" s="20"/>
      <c r="D54" s="20"/>
      <c r="E54" s="20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>
        <v>1</v>
      </c>
      <c r="Y54" s="3">
        <v>1</v>
      </c>
      <c r="Z54" s="3"/>
      <c r="AA54" s="3"/>
      <c r="AB54" s="3">
        <v>3</v>
      </c>
      <c r="AC54" s="3">
        <v>3</v>
      </c>
      <c r="AD54" s="3"/>
      <c r="AE54" s="3"/>
      <c r="AF54" s="3">
        <v>2</v>
      </c>
      <c r="AG54" s="3"/>
      <c r="AH54" s="3"/>
      <c r="AI54" s="3"/>
      <c r="AJ54" s="3">
        <v>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</row>
    <row r="55" spans="1:51" ht="13" x14ac:dyDescent="0.3">
      <c r="A55" s="23" t="s">
        <v>236</v>
      </c>
      <c r="B55" s="20"/>
      <c r="C55" s="20"/>
      <c r="D55" s="20"/>
      <c r="E55" s="20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>
        <v>1</v>
      </c>
      <c r="AX55" s="3"/>
      <c r="AY55" s="3"/>
    </row>
    <row r="56" spans="1:51" ht="13" x14ac:dyDescent="0.3">
      <c r="A56" s="23" t="s">
        <v>54</v>
      </c>
      <c r="B56" s="20"/>
      <c r="C56" s="20"/>
      <c r="D56" s="20"/>
      <c r="E56" s="20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>
        <v>2</v>
      </c>
      <c r="W56" s="3"/>
      <c r="X56" s="3">
        <v>3</v>
      </c>
      <c r="Y56" s="3">
        <v>3</v>
      </c>
      <c r="Z56" s="3">
        <v>3</v>
      </c>
      <c r="AA56" s="3">
        <v>3</v>
      </c>
      <c r="AB56" s="3">
        <v>3</v>
      </c>
      <c r="AC56" s="3">
        <v>3</v>
      </c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</row>
    <row r="57" spans="1:51" ht="13" x14ac:dyDescent="0.3">
      <c r="A57" s="23" t="s">
        <v>414</v>
      </c>
      <c r="B57" s="20"/>
      <c r="C57" s="20"/>
      <c r="D57" s="20"/>
      <c r="E57" s="20"/>
      <c r="F57" s="3"/>
      <c r="G57" s="3"/>
      <c r="H57" s="3"/>
      <c r="I57" s="3"/>
      <c r="J57" s="3"/>
      <c r="K57" s="3"/>
      <c r="L57" s="3"/>
      <c r="M57" s="3"/>
      <c r="N57" s="3"/>
      <c r="O57" s="3"/>
      <c r="P57" s="3">
        <v>1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</row>
    <row r="58" spans="1:51" ht="13" x14ac:dyDescent="0.3">
      <c r="A58" s="23" t="s">
        <v>237</v>
      </c>
      <c r="B58" s="20"/>
      <c r="C58" s="20"/>
      <c r="D58" s="20"/>
      <c r="E58" s="20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>
        <v>1</v>
      </c>
      <c r="AS58" s="3">
        <v>1</v>
      </c>
      <c r="AT58" s="3"/>
      <c r="AU58" s="3"/>
      <c r="AV58" s="3"/>
      <c r="AW58" s="3"/>
      <c r="AX58" s="3"/>
      <c r="AY58" s="3"/>
    </row>
    <row r="59" spans="1:51" ht="13" x14ac:dyDescent="0.3">
      <c r="A59" s="23" t="s">
        <v>238</v>
      </c>
      <c r="B59" s="20"/>
      <c r="C59" s="20"/>
      <c r="D59" s="20"/>
      <c r="E59" s="20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>
        <v>1</v>
      </c>
      <c r="AC59" s="3">
        <v>1</v>
      </c>
      <c r="AD59" s="3"/>
      <c r="AE59" s="3"/>
      <c r="AF59" s="3">
        <v>1</v>
      </c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>
        <v>1</v>
      </c>
      <c r="AS59" s="3"/>
      <c r="AT59" s="3"/>
      <c r="AU59" s="3"/>
      <c r="AV59" s="3"/>
      <c r="AW59" s="3"/>
      <c r="AX59" s="3"/>
      <c r="AY59" s="3"/>
    </row>
    <row r="60" spans="1:51" ht="13" x14ac:dyDescent="0.3">
      <c r="A60" s="23" t="s">
        <v>57</v>
      </c>
      <c r="B60" s="20"/>
      <c r="C60" s="20"/>
      <c r="D60" s="20"/>
      <c r="E60" s="20"/>
      <c r="F60" s="3"/>
      <c r="G60" s="3"/>
      <c r="H60" s="3"/>
      <c r="I60" s="3"/>
      <c r="J60" s="3">
        <v>1</v>
      </c>
      <c r="K60" s="3"/>
      <c r="L60" s="3"/>
      <c r="M60" s="3"/>
      <c r="N60" s="3"/>
      <c r="O60" s="3"/>
      <c r="P60" s="3"/>
      <c r="Q60" s="3">
        <v>2</v>
      </c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>
        <v>3</v>
      </c>
      <c r="AD60" s="3"/>
      <c r="AE60" s="3"/>
      <c r="AF60" s="3"/>
      <c r="AG60" s="3">
        <v>2</v>
      </c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</row>
    <row r="61" spans="1:51" ht="13" x14ac:dyDescent="0.3">
      <c r="A61" s="23" t="s">
        <v>58</v>
      </c>
      <c r="B61" s="20"/>
      <c r="C61" s="20"/>
      <c r="D61" s="20"/>
      <c r="E61" s="20"/>
      <c r="F61" s="3"/>
      <c r="G61" s="3"/>
      <c r="H61" s="3"/>
      <c r="I61" s="3"/>
      <c r="J61" s="3">
        <v>1</v>
      </c>
      <c r="K61" s="3"/>
      <c r="L61" s="3"/>
      <c r="M61" s="3"/>
      <c r="N61" s="3"/>
      <c r="O61" s="3"/>
      <c r="P61" s="3"/>
      <c r="Q61" s="3"/>
      <c r="R61" s="3"/>
      <c r="S61" s="3"/>
      <c r="T61" s="3">
        <v>3</v>
      </c>
      <c r="U61" s="3">
        <v>3</v>
      </c>
      <c r="V61" s="3"/>
      <c r="W61" s="3"/>
      <c r="X61" s="3"/>
      <c r="Y61" s="3"/>
      <c r="Z61" s="3"/>
      <c r="AA61" s="3"/>
      <c r="AB61" s="3">
        <v>1</v>
      </c>
      <c r="AC61" s="3">
        <v>1</v>
      </c>
      <c r="AD61" s="3"/>
      <c r="AE61" s="3"/>
      <c r="AF61" s="3">
        <v>4</v>
      </c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</row>
    <row r="62" spans="1:51" ht="13" x14ac:dyDescent="0.3">
      <c r="A62" s="23" t="s">
        <v>239</v>
      </c>
      <c r="B62" s="20">
        <v>1</v>
      </c>
      <c r="C62" s="20"/>
      <c r="D62" s="20"/>
      <c r="E62" s="20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>
        <v>4</v>
      </c>
      <c r="X62" s="3"/>
      <c r="Y62" s="3"/>
      <c r="Z62" s="3"/>
      <c r="AA62" s="3"/>
      <c r="AB62" s="3"/>
      <c r="AC62" s="3"/>
      <c r="AD62" s="3"/>
      <c r="AE62" s="3"/>
      <c r="AF62" s="3">
        <v>1</v>
      </c>
      <c r="AG62" s="3"/>
      <c r="AH62" s="3"/>
      <c r="AI62" s="3"/>
      <c r="AJ62" s="3">
        <v>1</v>
      </c>
      <c r="AK62" s="3">
        <v>1</v>
      </c>
      <c r="AL62" s="3"/>
      <c r="AM62" s="3">
        <v>1</v>
      </c>
      <c r="AN62" s="3">
        <v>4</v>
      </c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</row>
    <row r="63" spans="1:51" ht="13" x14ac:dyDescent="0.3">
      <c r="A63" s="23" t="s">
        <v>240</v>
      </c>
      <c r="B63" s="20"/>
      <c r="C63" s="20"/>
      <c r="D63" s="20"/>
      <c r="E63" s="20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>
        <v>2</v>
      </c>
      <c r="Y63" s="3"/>
      <c r="Z63" s="3">
        <v>1</v>
      </c>
      <c r="AA63" s="3">
        <v>1</v>
      </c>
      <c r="AB63" s="3">
        <v>1</v>
      </c>
      <c r="AC63" s="3">
        <v>1</v>
      </c>
      <c r="AD63" s="3"/>
      <c r="AE63" s="3"/>
      <c r="AF63" s="3"/>
      <c r="AG63" s="3"/>
      <c r="AH63" s="3"/>
      <c r="AI63" s="3"/>
      <c r="AJ63" s="3"/>
      <c r="AK63" s="3"/>
      <c r="AL63" s="3"/>
      <c r="AM63" s="3">
        <v>1</v>
      </c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</row>
    <row r="64" spans="1:51" ht="13" x14ac:dyDescent="0.3">
      <c r="A64" s="23" t="s">
        <v>59</v>
      </c>
      <c r="B64" s="20">
        <v>2</v>
      </c>
      <c r="C64" s="20"/>
      <c r="D64" s="20"/>
      <c r="E64" s="20"/>
      <c r="F64" s="3">
        <v>2</v>
      </c>
      <c r="G64" s="3"/>
      <c r="H64" s="3">
        <v>2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>
        <v>1</v>
      </c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>
        <v>1</v>
      </c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</row>
    <row r="65" spans="1:51" ht="13" x14ac:dyDescent="0.3">
      <c r="A65" s="23" t="s">
        <v>444</v>
      </c>
      <c r="B65" s="20"/>
      <c r="C65" s="20"/>
      <c r="D65" s="20"/>
      <c r="E65" s="20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>
        <v>4</v>
      </c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</row>
    <row r="66" spans="1:51" ht="13" x14ac:dyDescent="0.3">
      <c r="A66" s="23" t="s">
        <v>241</v>
      </c>
      <c r="B66" s="20"/>
      <c r="C66" s="20"/>
      <c r="D66" s="20"/>
      <c r="E66" s="20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>
        <v>1</v>
      </c>
      <c r="AX66" s="3"/>
      <c r="AY66" s="3"/>
    </row>
    <row r="67" spans="1:51" ht="13" x14ac:dyDescent="0.3">
      <c r="A67" s="23" t="s">
        <v>242</v>
      </c>
      <c r="B67" s="20"/>
      <c r="C67" s="20"/>
      <c r="D67" s="20"/>
      <c r="E67" s="20"/>
      <c r="F67" s="3"/>
      <c r="G67" s="3"/>
      <c r="H67" s="3"/>
      <c r="I67" s="3"/>
      <c r="J67" s="3">
        <v>1</v>
      </c>
      <c r="K67" s="3"/>
      <c r="L67" s="3"/>
      <c r="M67" s="3"/>
      <c r="N67" s="3"/>
      <c r="O67" s="3"/>
      <c r="P67" s="3">
        <v>1</v>
      </c>
      <c r="Q67" s="3">
        <v>1</v>
      </c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>
        <v>1</v>
      </c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</row>
    <row r="68" spans="1:51" ht="13" x14ac:dyDescent="0.3">
      <c r="A68" s="23" t="s">
        <v>437</v>
      </c>
      <c r="B68" s="20"/>
      <c r="C68" s="20"/>
      <c r="D68" s="20"/>
      <c r="E68" s="20"/>
      <c r="F68" s="3">
        <v>4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</row>
    <row r="69" spans="1:51" ht="13" x14ac:dyDescent="0.3">
      <c r="A69" s="23" t="s">
        <v>60</v>
      </c>
      <c r="B69" s="20">
        <v>2</v>
      </c>
      <c r="C69" s="20"/>
      <c r="D69" s="20"/>
      <c r="E69" s="20"/>
      <c r="F69" s="3"/>
      <c r="G69" s="3"/>
      <c r="H69" s="3"/>
      <c r="I69" s="3"/>
      <c r="J69" s="3"/>
      <c r="K69" s="3"/>
      <c r="L69" s="3">
        <v>1</v>
      </c>
      <c r="M69" s="3"/>
      <c r="N69" s="3"/>
      <c r="O69" s="3"/>
      <c r="P69" s="3"/>
      <c r="Q69" s="3"/>
      <c r="R69" s="3"/>
      <c r="S69" s="3"/>
      <c r="T69" s="3">
        <v>2</v>
      </c>
      <c r="U69" s="3">
        <v>2</v>
      </c>
      <c r="V69" s="3"/>
      <c r="W69" s="3"/>
      <c r="X69" s="3">
        <v>1</v>
      </c>
      <c r="Y69" s="3"/>
      <c r="Z69" s="3"/>
      <c r="AA69" s="3"/>
      <c r="AB69" s="3"/>
      <c r="AC69" s="3"/>
      <c r="AD69" s="3">
        <v>1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>
        <v>4</v>
      </c>
      <c r="AQ69" s="3">
        <v>4</v>
      </c>
      <c r="AR69" s="3">
        <v>4</v>
      </c>
      <c r="AS69" s="3">
        <v>4</v>
      </c>
      <c r="AT69" s="3">
        <v>4</v>
      </c>
      <c r="AU69" s="3"/>
      <c r="AV69" s="3"/>
      <c r="AW69" s="3"/>
      <c r="AX69" s="3"/>
      <c r="AY69" s="3"/>
    </row>
    <row r="70" spans="1:51" ht="13" x14ac:dyDescent="0.3">
      <c r="A70" s="23" t="s">
        <v>243</v>
      </c>
      <c r="B70" s="20"/>
      <c r="C70" s="20"/>
      <c r="D70" s="20"/>
      <c r="E70" s="20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>
        <v>4</v>
      </c>
      <c r="AA70" s="3">
        <v>4</v>
      </c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>
        <v>1</v>
      </c>
      <c r="AQ70" s="3"/>
      <c r="AR70" s="3"/>
      <c r="AS70" s="3"/>
      <c r="AT70" s="3"/>
      <c r="AU70" s="3"/>
      <c r="AV70" s="3">
        <v>1</v>
      </c>
      <c r="AW70" s="3">
        <v>1</v>
      </c>
      <c r="AX70" s="3"/>
      <c r="AY70" s="3"/>
    </row>
    <row r="71" spans="1:51" ht="13" x14ac:dyDescent="0.3">
      <c r="A71" s="23" t="s">
        <v>401</v>
      </c>
      <c r="B71" s="20"/>
      <c r="C71" s="20"/>
      <c r="D71" s="20"/>
      <c r="E71" s="20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>
        <v>1</v>
      </c>
      <c r="AL71" s="3"/>
      <c r="AM71" s="3">
        <v>1</v>
      </c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</row>
    <row r="72" spans="1:51" ht="13" x14ac:dyDescent="0.3">
      <c r="A72" s="23" t="s">
        <v>374</v>
      </c>
      <c r="B72" s="20"/>
      <c r="C72" s="20"/>
      <c r="D72" s="20"/>
      <c r="E72" s="20"/>
      <c r="F72" s="3"/>
      <c r="G72" s="3"/>
      <c r="H72" s="3"/>
      <c r="I72" s="3"/>
      <c r="J72" s="3">
        <v>1</v>
      </c>
      <c r="K72" s="3"/>
      <c r="L72" s="3"/>
      <c r="M72" s="3"/>
      <c r="N72" s="3"/>
      <c r="O72" s="3"/>
      <c r="P72" s="3"/>
      <c r="Q72" s="3">
        <v>1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>
        <v>1</v>
      </c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>
        <v>1</v>
      </c>
      <c r="AU72" s="3"/>
      <c r="AV72" s="3">
        <v>1</v>
      </c>
      <c r="AW72" s="3"/>
      <c r="AX72" s="3"/>
      <c r="AY72" s="3"/>
    </row>
    <row r="73" spans="1:51" ht="13" x14ac:dyDescent="0.3">
      <c r="A73" s="23" t="s">
        <v>440</v>
      </c>
      <c r="B73" s="20"/>
      <c r="C73" s="20"/>
      <c r="D73" s="20"/>
      <c r="E73" s="20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>
        <v>4</v>
      </c>
      <c r="AN73" s="3">
        <v>4</v>
      </c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</row>
    <row r="74" spans="1:51" ht="13" x14ac:dyDescent="0.3">
      <c r="A74" s="23" t="s">
        <v>244</v>
      </c>
      <c r="B74" s="20"/>
      <c r="C74" s="20"/>
      <c r="D74" s="20"/>
      <c r="E74" s="20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>
        <v>1</v>
      </c>
      <c r="AC74" s="3">
        <v>1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>
        <v>1</v>
      </c>
      <c r="AS74" s="3">
        <v>1</v>
      </c>
      <c r="AT74" s="3"/>
      <c r="AU74" s="3"/>
      <c r="AV74" s="3"/>
      <c r="AW74" s="3"/>
      <c r="AX74" s="3"/>
      <c r="AY74" s="3"/>
    </row>
    <row r="75" spans="1:51" ht="13" x14ac:dyDescent="0.3">
      <c r="A75" s="23" t="s">
        <v>245</v>
      </c>
      <c r="B75" s="20"/>
      <c r="C75" s="20"/>
      <c r="D75" s="20">
        <v>4</v>
      </c>
      <c r="E75" s="20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</row>
    <row r="76" spans="1:51" ht="13" x14ac:dyDescent="0.3">
      <c r="A76" s="23" t="s">
        <v>61</v>
      </c>
      <c r="B76" s="20">
        <v>2</v>
      </c>
      <c r="C76" s="20"/>
      <c r="D76" s="20"/>
      <c r="E76" s="20"/>
      <c r="F76" s="3"/>
      <c r="G76" s="3">
        <v>1</v>
      </c>
      <c r="H76" s="3"/>
      <c r="I76" s="3">
        <v>1</v>
      </c>
      <c r="J76" s="3"/>
      <c r="K76" s="3"/>
      <c r="L76" s="3"/>
      <c r="M76" s="3"/>
      <c r="N76" s="3"/>
      <c r="O76" s="3"/>
      <c r="P76" s="3"/>
      <c r="Q76" s="3">
        <v>2</v>
      </c>
      <c r="R76" s="3">
        <v>3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>
        <v>2</v>
      </c>
      <c r="AH76" s="3"/>
      <c r="AI76" s="3"/>
      <c r="AJ76" s="3"/>
      <c r="AK76" s="3"/>
      <c r="AL76" s="3"/>
      <c r="AM76" s="3">
        <v>1</v>
      </c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</row>
    <row r="77" spans="1:51" ht="13" x14ac:dyDescent="0.3">
      <c r="A77" s="23" t="s">
        <v>246</v>
      </c>
      <c r="B77" s="20">
        <v>1</v>
      </c>
      <c r="C77" s="20"/>
      <c r="D77" s="20"/>
      <c r="E77" s="20"/>
      <c r="F77" s="3"/>
      <c r="G77" s="3"/>
      <c r="H77" s="3"/>
      <c r="I77" s="3"/>
      <c r="J77" s="3">
        <v>1</v>
      </c>
      <c r="K77" s="3"/>
      <c r="L77" s="3"/>
      <c r="M77" s="3"/>
      <c r="N77" s="3"/>
      <c r="O77" s="3"/>
      <c r="P77" s="3"/>
      <c r="Q77" s="3">
        <v>1</v>
      </c>
      <c r="R77" s="3"/>
      <c r="S77" s="3"/>
      <c r="T77" s="3"/>
      <c r="U77" s="3">
        <v>1</v>
      </c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>
        <v>1</v>
      </c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</row>
    <row r="78" spans="1:51" ht="13" x14ac:dyDescent="0.3">
      <c r="A78" s="23" t="s">
        <v>419</v>
      </c>
      <c r="B78" s="20"/>
      <c r="C78" s="20"/>
      <c r="D78" s="20"/>
      <c r="E78" s="20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>
        <v>4</v>
      </c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</row>
    <row r="79" spans="1:51" ht="13" x14ac:dyDescent="0.3">
      <c r="A79" s="23" t="s">
        <v>247</v>
      </c>
      <c r="B79" s="20"/>
      <c r="C79" s="20"/>
      <c r="D79" s="20"/>
      <c r="E79" s="20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>
        <v>1</v>
      </c>
      <c r="AQ79" s="3"/>
      <c r="AR79" s="3">
        <v>4</v>
      </c>
      <c r="AS79" s="3"/>
      <c r="AT79" s="3"/>
      <c r="AU79" s="3"/>
      <c r="AV79" s="3"/>
      <c r="AW79" s="3"/>
      <c r="AX79" s="3"/>
      <c r="AY79" s="3">
        <v>1</v>
      </c>
    </row>
    <row r="80" spans="1:51" ht="13" x14ac:dyDescent="0.3">
      <c r="A80" s="23" t="s">
        <v>451</v>
      </c>
      <c r="B80" s="20"/>
      <c r="C80" s="20"/>
      <c r="D80" s="20"/>
      <c r="E80" s="20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>
        <v>4</v>
      </c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</row>
    <row r="81" spans="1:51" ht="13" x14ac:dyDescent="0.3">
      <c r="A81" s="23" t="s">
        <v>412</v>
      </c>
      <c r="B81" s="20"/>
      <c r="C81" s="20"/>
      <c r="D81" s="20"/>
      <c r="E81" s="20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>
        <v>1</v>
      </c>
      <c r="AG81" s="3"/>
      <c r="AH81" s="3"/>
      <c r="AI81" s="3"/>
      <c r="AJ81" s="3">
        <v>1</v>
      </c>
      <c r="AK81" s="3"/>
      <c r="AL81" s="3"/>
      <c r="AM81" s="3">
        <v>1</v>
      </c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</row>
    <row r="82" spans="1:51" ht="13" x14ac:dyDescent="0.3">
      <c r="A82" s="23" t="s">
        <v>62</v>
      </c>
      <c r="B82" s="20">
        <v>2</v>
      </c>
      <c r="C82" s="20"/>
      <c r="D82" s="20"/>
      <c r="E82" s="20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>
        <v>3</v>
      </c>
      <c r="AC82" s="3">
        <v>3</v>
      </c>
      <c r="AD82" s="3"/>
      <c r="AE82" s="3"/>
      <c r="AF82" s="3">
        <v>3</v>
      </c>
      <c r="AG82" s="3"/>
      <c r="AH82" s="3"/>
      <c r="AI82" s="3"/>
      <c r="AJ82" s="3">
        <v>3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</row>
    <row r="83" spans="1:51" ht="13" x14ac:dyDescent="0.3">
      <c r="A83" s="23" t="s">
        <v>386</v>
      </c>
      <c r="B83" s="20"/>
      <c r="C83" s="20"/>
      <c r="D83" s="20"/>
      <c r="E83" s="20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>
        <v>1</v>
      </c>
    </row>
    <row r="84" spans="1:51" ht="13" x14ac:dyDescent="0.3">
      <c r="A84" s="23" t="s">
        <v>248</v>
      </c>
      <c r="B84" s="20">
        <v>3</v>
      </c>
      <c r="C84" s="20"/>
      <c r="D84" s="20"/>
      <c r="E84" s="20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v>2</v>
      </c>
      <c r="Z84" s="3">
        <v>1</v>
      </c>
      <c r="AA84" s="3">
        <v>1</v>
      </c>
      <c r="AB84" s="3">
        <v>1</v>
      </c>
      <c r="AC84" s="3">
        <v>1</v>
      </c>
      <c r="AD84" s="3"/>
      <c r="AE84" s="3"/>
      <c r="AF84" s="3"/>
      <c r="AG84" s="3"/>
      <c r="AH84" s="3"/>
      <c r="AI84" s="3"/>
      <c r="AJ84" s="3"/>
      <c r="AK84" s="3"/>
      <c r="AL84" s="3"/>
      <c r="AM84" s="3">
        <v>1</v>
      </c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</row>
    <row r="85" spans="1:51" ht="13" x14ac:dyDescent="0.3">
      <c r="A85" s="23" t="s">
        <v>63</v>
      </c>
      <c r="B85" s="20"/>
      <c r="C85" s="20"/>
      <c r="D85" s="20"/>
      <c r="E85" s="20"/>
      <c r="F85" s="3"/>
      <c r="G85" s="3"/>
      <c r="H85" s="3"/>
      <c r="I85" s="3">
        <v>4</v>
      </c>
      <c r="J85" s="3"/>
      <c r="K85" s="3"/>
      <c r="L85" s="3"/>
      <c r="M85" s="3"/>
      <c r="N85" s="3"/>
      <c r="O85" s="3"/>
      <c r="P85" s="3"/>
      <c r="Q85" s="3"/>
      <c r="R85" s="3">
        <v>3</v>
      </c>
      <c r="S85" s="3"/>
      <c r="T85" s="3"/>
      <c r="U85" s="3"/>
      <c r="V85" s="3"/>
      <c r="W85" s="3"/>
      <c r="X85" s="3">
        <v>1</v>
      </c>
      <c r="Y85" s="3">
        <v>1</v>
      </c>
      <c r="Z85" s="3">
        <v>1</v>
      </c>
      <c r="AA85" s="3">
        <v>1</v>
      </c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>
        <v>4</v>
      </c>
      <c r="AS85" s="3"/>
      <c r="AT85" s="3"/>
      <c r="AU85" s="3"/>
      <c r="AV85" s="3"/>
      <c r="AW85" s="3"/>
      <c r="AX85" s="3"/>
      <c r="AY85" s="3"/>
    </row>
    <row r="86" spans="1:51" ht="13" x14ac:dyDescent="0.3">
      <c r="A86" s="23" t="s">
        <v>64</v>
      </c>
      <c r="B86" s="20">
        <v>3</v>
      </c>
      <c r="C86" s="20"/>
      <c r="D86" s="20"/>
      <c r="E86" s="20"/>
      <c r="F86" s="3"/>
      <c r="G86" s="3"/>
      <c r="H86" s="3">
        <v>1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>
        <v>3</v>
      </c>
      <c r="Y86" s="3">
        <v>3</v>
      </c>
      <c r="Z86" s="3">
        <v>1</v>
      </c>
      <c r="AA86" s="3">
        <v>1</v>
      </c>
      <c r="AB86" s="3">
        <v>3</v>
      </c>
      <c r="AC86" s="3">
        <v>3</v>
      </c>
      <c r="AD86" s="3"/>
      <c r="AE86" s="3"/>
      <c r="AF86" s="3">
        <v>2</v>
      </c>
      <c r="AG86" s="3"/>
      <c r="AH86" s="3"/>
      <c r="AI86" s="3"/>
      <c r="AJ86" s="3">
        <v>2</v>
      </c>
      <c r="AK86" s="3"/>
      <c r="AL86" s="3"/>
      <c r="AM86" s="3">
        <v>1</v>
      </c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</row>
    <row r="87" spans="1:51" ht="13" x14ac:dyDescent="0.3">
      <c r="A87" s="23" t="s">
        <v>249</v>
      </c>
      <c r="B87" s="20"/>
      <c r="C87" s="20"/>
      <c r="D87" s="20"/>
      <c r="E87" s="20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>
        <v>1</v>
      </c>
      <c r="AG87" s="3"/>
      <c r="AH87" s="3"/>
      <c r="AI87" s="3"/>
      <c r="AJ87" s="3">
        <v>1</v>
      </c>
      <c r="AK87" s="3"/>
      <c r="AL87" s="3"/>
      <c r="AM87" s="3">
        <v>1</v>
      </c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</row>
    <row r="88" spans="1:51" ht="13" x14ac:dyDescent="0.3">
      <c r="A88" s="23" t="s">
        <v>65</v>
      </c>
      <c r="B88" s="20"/>
      <c r="C88" s="20"/>
      <c r="D88" s="20">
        <v>1</v>
      </c>
      <c r="E88" s="20">
        <v>4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>
        <v>1</v>
      </c>
      <c r="AL88" s="3"/>
      <c r="AM88" s="3">
        <v>2</v>
      </c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</row>
    <row r="89" spans="1:51" ht="13" x14ac:dyDescent="0.3">
      <c r="A89" s="23" t="s">
        <v>454</v>
      </c>
      <c r="B89" s="20"/>
      <c r="C89" s="20"/>
      <c r="D89" s="20"/>
      <c r="E89" s="20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>
        <v>4</v>
      </c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</row>
    <row r="90" spans="1:51" ht="13" x14ac:dyDescent="0.3">
      <c r="A90" s="23" t="s">
        <v>66</v>
      </c>
      <c r="B90" s="20"/>
      <c r="C90" s="20"/>
      <c r="D90" s="20"/>
      <c r="E90" s="20"/>
      <c r="F90" s="3"/>
      <c r="G90" s="3">
        <v>1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>
        <v>3</v>
      </c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</row>
    <row r="91" spans="1:51" ht="13" x14ac:dyDescent="0.3">
      <c r="A91" s="23" t="s">
        <v>250</v>
      </c>
      <c r="B91" s="20"/>
      <c r="C91" s="20"/>
      <c r="D91" s="20"/>
      <c r="E91" s="20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>
        <v>1</v>
      </c>
      <c r="AS91" s="3">
        <v>1</v>
      </c>
      <c r="AT91" s="3">
        <v>1</v>
      </c>
      <c r="AU91" s="3">
        <v>1</v>
      </c>
      <c r="AV91" s="3">
        <v>1</v>
      </c>
      <c r="AW91" s="3"/>
      <c r="AX91" s="3"/>
      <c r="AY91" s="3"/>
    </row>
    <row r="92" spans="1:51" ht="13" x14ac:dyDescent="0.3">
      <c r="A92" s="23" t="s">
        <v>446</v>
      </c>
      <c r="B92" s="20"/>
      <c r="C92" s="20"/>
      <c r="D92" s="20"/>
      <c r="E92" s="20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>
        <v>4</v>
      </c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</row>
    <row r="93" spans="1:51" ht="13" x14ac:dyDescent="0.3">
      <c r="A93" s="23" t="s">
        <v>251</v>
      </c>
      <c r="B93" s="20"/>
      <c r="C93" s="20"/>
      <c r="D93" s="20"/>
      <c r="E93" s="20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>
        <v>1</v>
      </c>
      <c r="AS93" s="3"/>
      <c r="AT93" s="3"/>
      <c r="AU93" s="3"/>
      <c r="AV93" s="3">
        <v>1</v>
      </c>
      <c r="AW93" s="3"/>
      <c r="AX93" s="3"/>
      <c r="AY93" s="3"/>
    </row>
    <row r="94" spans="1:51" ht="13" x14ac:dyDescent="0.3">
      <c r="A94" s="23" t="s">
        <v>252</v>
      </c>
      <c r="B94" s="20">
        <v>3</v>
      </c>
      <c r="C94" s="20">
        <v>3</v>
      </c>
      <c r="D94" s="20">
        <v>3</v>
      </c>
      <c r="E94" s="20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</row>
    <row r="95" spans="1:51" ht="13" x14ac:dyDescent="0.3">
      <c r="A95" s="23" t="s">
        <v>67</v>
      </c>
      <c r="B95" s="20"/>
      <c r="C95" s="20"/>
      <c r="D95" s="20"/>
      <c r="E95" s="20"/>
      <c r="F95" s="3">
        <v>3</v>
      </c>
      <c r="G95" s="3"/>
      <c r="H95" s="3">
        <v>3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>
        <v>1</v>
      </c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>
        <v>1</v>
      </c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</row>
    <row r="96" spans="1:51" ht="13" x14ac:dyDescent="0.3">
      <c r="A96" s="23" t="s">
        <v>253</v>
      </c>
      <c r="B96" s="20"/>
      <c r="C96" s="20"/>
      <c r="D96" s="20"/>
      <c r="E96" s="20"/>
      <c r="F96" s="3"/>
      <c r="G96" s="3"/>
      <c r="H96" s="3"/>
      <c r="I96" s="3"/>
      <c r="J96" s="3"/>
      <c r="K96" s="3"/>
      <c r="L96" s="3"/>
      <c r="M96" s="3"/>
      <c r="N96" s="3"/>
      <c r="O96" s="3"/>
      <c r="P96" s="3">
        <v>1</v>
      </c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>
        <v>1</v>
      </c>
      <c r="AQ96" s="3"/>
      <c r="AR96" s="3">
        <v>1</v>
      </c>
      <c r="AS96" s="3">
        <v>1</v>
      </c>
      <c r="AT96" s="3"/>
      <c r="AU96" s="3"/>
      <c r="AV96" s="3">
        <v>1</v>
      </c>
      <c r="AW96" s="3"/>
      <c r="AX96" s="3"/>
      <c r="AY96" s="3"/>
    </row>
    <row r="97" spans="1:51" ht="13" x14ac:dyDescent="0.3">
      <c r="A97" s="23" t="s">
        <v>254</v>
      </c>
      <c r="B97" s="20"/>
      <c r="C97" s="20"/>
      <c r="D97" s="20"/>
      <c r="E97" s="20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>
        <v>1</v>
      </c>
      <c r="AT97" s="3"/>
      <c r="AU97" s="3">
        <v>1</v>
      </c>
      <c r="AV97" s="3"/>
      <c r="AW97" s="3">
        <v>4</v>
      </c>
      <c r="AX97" s="3"/>
      <c r="AY97" s="3"/>
    </row>
    <row r="98" spans="1:51" ht="13" x14ac:dyDescent="0.3">
      <c r="A98" s="23" t="s">
        <v>413</v>
      </c>
      <c r="B98" s="20"/>
      <c r="C98" s="20"/>
      <c r="D98" s="20"/>
      <c r="E98" s="20"/>
      <c r="F98" s="3"/>
      <c r="G98" s="3"/>
      <c r="H98" s="3"/>
      <c r="I98" s="3"/>
      <c r="J98" s="3"/>
      <c r="K98" s="3"/>
      <c r="L98" s="3"/>
      <c r="M98" s="3"/>
      <c r="N98" s="3"/>
      <c r="O98" s="3">
        <v>4</v>
      </c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</row>
    <row r="99" spans="1:51" ht="13" x14ac:dyDescent="0.3">
      <c r="A99" s="23" t="s">
        <v>436</v>
      </c>
      <c r="B99" s="20"/>
      <c r="C99" s="20"/>
      <c r="D99" s="20"/>
      <c r="E99" s="20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>
        <v>1</v>
      </c>
      <c r="AF99" s="3"/>
      <c r="AG99" s="3"/>
      <c r="AH99" s="3"/>
      <c r="AI99" s="3">
        <v>1</v>
      </c>
      <c r="AJ99" s="3"/>
      <c r="AK99" s="3"/>
      <c r="AL99" s="3"/>
      <c r="AM99" s="3">
        <v>1</v>
      </c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</row>
    <row r="100" spans="1:51" ht="13" x14ac:dyDescent="0.3">
      <c r="A100" s="23" t="s">
        <v>255</v>
      </c>
      <c r="B100" s="20"/>
      <c r="C100" s="20"/>
      <c r="D100" s="20"/>
      <c r="E100" s="20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>
        <v>1</v>
      </c>
      <c r="AS100" s="3"/>
      <c r="AT100" s="3"/>
      <c r="AU100" s="3"/>
      <c r="AV100" s="3"/>
      <c r="AW100" s="3"/>
      <c r="AX100" s="3"/>
      <c r="AY100" s="3"/>
    </row>
    <row r="101" spans="1:51" ht="13" x14ac:dyDescent="0.3">
      <c r="A101" s="23" t="s">
        <v>68</v>
      </c>
      <c r="B101" s="20"/>
      <c r="C101" s="20"/>
      <c r="D101" s="20"/>
      <c r="E101" s="20"/>
      <c r="F101" s="3">
        <v>3</v>
      </c>
      <c r="G101" s="3"/>
      <c r="H101" s="3">
        <v>3</v>
      </c>
      <c r="I101" s="3"/>
      <c r="J101" s="3">
        <v>1</v>
      </c>
      <c r="K101" s="3"/>
      <c r="L101" s="3"/>
      <c r="M101" s="3"/>
      <c r="N101" s="3"/>
      <c r="O101" s="3"/>
      <c r="P101" s="3"/>
      <c r="Q101" s="3">
        <v>2</v>
      </c>
      <c r="R101" s="3"/>
      <c r="S101" s="3"/>
      <c r="T101" s="3"/>
      <c r="U101" s="3"/>
      <c r="V101" s="3"/>
      <c r="W101" s="3"/>
      <c r="X101" s="3">
        <v>3</v>
      </c>
      <c r="Y101" s="3">
        <v>3</v>
      </c>
      <c r="Z101" s="3">
        <v>3</v>
      </c>
      <c r="AA101" s="3">
        <v>3</v>
      </c>
      <c r="AB101" s="3">
        <v>3</v>
      </c>
      <c r="AC101" s="3">
        <v>3</v>
      </c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</row>
    <row r="102" spans="1:51" ht="13" x14ac:dyDescent="0.3">
      <c r="A102" s="23" t="s">
        <v>69</v>
      </c>
      <c r="B102" s="20"/>
      <c r="C102" s="20"/>
      <c r="D102" s="20"/>
      <c r="E102" s="20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v>2</v>
      </c>
      <c r="Z102" s="3">
        <v>2</v>
      </c>
      <c r="AA102" s="3">
        <v>2</v>
      </c>
      <c r="AB102" s="3">
        <v>3</v>
      </c>
      <c r="AC102" s="3">
        <v>2</v>
      </c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</row>
    <row r="103" spans="1:51" ht="13" x14ac:dyDescent="0.3">
      <c r="A103" s="23" t="s">
        <v>256</v>
      </c>
      <c r="B103" s="20"/>
      <c r="C103" s="20"/>
      <c r="D103" s="20"/>
      <c r="E103" s="20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>
        <v>1</v>
      </c>
      <c r="AS103" s="3">
        <v>1</v>
      </c>
      <c r="AT103" s="3"/>
      <c r="AU103" s="3">
        <v>1</v>
      </c>
      <c r="AV103" s="3"/>
      <c r="AW103" s="3"/>
      <c r="AX103" s="3"/>
      <c r="AY103" s="3"/>
    </row>
    <row r="104" spans="1:51" ht="13" x14ac:dyDescent="0.3">
      <c r="A104" s="23" t="s">
        <v>70</v>
      </c>
      <c r="B104" s="20">
        <v>3</v>
      </c>
      <c r="C104" s="20"/>
      <c r="D104" s="20"/>
      <c r="E104" s="20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>
        <v>3</v>
      </c>
      <c r="Y104" s="3"/>
      <c r="Z104" s="3">
        <v>3</v>
      </c>
      <c r="AA104" s="3">
        <v>1</v>
      </c>
      <c r="AB104" s="3">
        <v>1</v>
      </c>
      <c r="AC104" s="3">
        <v>1</v>
      </c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</row>
    <row r="105" spans="1:51" ht="13" x14ac:dyDescent="0.3">
      <c r="A105" s="23" t="s">
        <v>257</v>
      </c>
      <c r="B105" s="20"/>
      <c r="C105" s="20"/>
      <c r="D105" s="20"/>
      <c r="E105" s="20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>
        <v>1</v>
      </c>
      <c r="AS105" s="3"/>
      <c r="AT105" s="3"/>
      <c r="AU105" s="3"/>
      <c r="AV105" s="3"/>
      <c r="AW105" s="3"/>
      <c r="AX105" s="3"/>
      <c r="AY105" s="3">
        <v>1</v>
      </c>
    </row>
    <row r="106" spans="1:51" ht="13" x14ac:dyDescent="0.3">
      <c r="A106" s="23" t="s">
        <v>458</v>
      </c>
      <c r="B106" s="20"/>
      <c r="C106" s="20"/>
      <c r="D106" s="20"/>
      <c r="E106" s="20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>
        <v>4</v>
      </c>
      <c r="AF106" s="3"/>
      <c r="AG106" s="3"/>
      <c r="AH106" s="3"/>
      <c r="AI106" s="3">
        <v>4</v>
      </c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</row>
    <row r="107" spans="1:51" ht="13" x14ac:dyDescent="0.3">
      <c r="A107" s="23" t="s">
        <v>441</v>
      </c>
      <c r="B107" s="20"/>
      <c r="C107" s="20"/>
      <c r="D107" s="20"/>
      <c r="E107" s="20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>
        <v>1</v>
      </c>
      <c r="AC107" s="3">
        <v>1</v>
      </c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</row>
    <row r="108" spans="1:51" ht="13" x14ac:dyDescent="0.3">
      <c r="A108" s="23" t="s">
        <v>430</v>
      </c>
      <c r="B108" s="20"/>
      <c r="C108" s="20"/>
      <c r="D108" s="20"/>
      <c r="E108" s="20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>
        <v>4</v>
      </c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</row>
    <row r="109" spans="1:51" ht="13" x14ac:dyDescent="0.3">
      <c r="A109" s="23" t="s">
        <v>71</v>
      </c>
      <c r="B109" s="20"/>
      <c r="C109" s="20"/>
      <c r="D109" s="20"/>
      <c r="E109" s="20"/>
      <c r="F109" s="3"/>
      <c r="G109" s="3"/>
      <c r="H109" s="3"/>
      <c r="I109" s="3">
        <v>1</v>
      </c>
      <c r="J109" s="3"/>
      <c r="K109" s="3"/>
      <c r="L109" s="3"/>
      <c r="M109" s="3"/>
      <c r="N109" s="3"/>
      <c r="O109" s="3"/>
      <c r="P109" s="3"/>
      <c r="Q109" s="3"/>
      <c r="R109" s="3">
        <v>1</v>
      </c>
      <c r="S109" s="3"/>
      <c r="T109" s="3"/>
      <c r="U109" s="3"/>
      <c r="V109" s="3"/>
      <c r="W109" s="3">
        <v>3</v>
      </c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</row>
    <row r="110" spans="1:51" ht="13" x14ac:dyDescent="0.3">
      <c r="A110" s="23" t="s">
        <v>72</v>
      </c>
      <c r="B110" s="20"/>
      <c r="C110" s="20"/>
      <c r="D110" s="20"/>
      <c r="E110" s="20"/>
      <c r="F110" s="3"/>
      <c r="G110" s="3"/>
      <c r="H110" s="3">
        <v>1</v>
      </c>
      <c r="I110" s="3"/>
      <c r="J110" s="3">
        <v>3</v>
      </c>
      <c r="K110" s="3"/>
      <c r="L110" s="3"/>
      <c r="M110" s="3"/>
      <c r="N110" s="3"/>
      <c r="O110" s="3"/>
      <c r="P110" s="3"/>
      <c r="Q110" s="3">
        <v>3</v>
      </c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>
        <v>2</v>
      </c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</row>
    <row r="111" spans="1:51" ht="13" x14ac:dyDescent="0.3">
      <c r="A111" s="23" t="s">
        <v>466</v>
      </c>
      <c r="B111" s="20"/>
      <c r="C111" s="20"/>
      <c r="D111" s="20"/>
      <c r="E111" s="20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>
        <v>4</v>
      </c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</row>
    <row r="112" spans="1:51" ht="13" x14ac:dyDescent="0.3">
      <c r="A112" s="23" t="s">
        <v>392</v>
      </c>
      <c r="B112" s="20"/>
      <c r="C112" s="20"/>
      <c r="D112" s="20"/>
      <c r="E112" s="20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>
        <v>4</v>
      </c>
      <c r="AS112" s="3">
        <v>4</v>
      </c>
      <c r="AT112" s="3"/>
      <c r="AU112" s="3"/>
      <c r="AV112" s="3"/>
      <c r="AW112" s="3"/>
      <c r="AX112" s="3"/>
      <c r="AY112" s="3"/>
    </row>
    <row r="113" spans="1:51" ht="13" x14ac:dyDescent="0.3">
      <c r="A113" s="23" t="s">
        <v>455</v>
      </c>
      <c r="B113" s="20"/>
      <c r="C113" s="20"/>
      <c r="D113" s="20"/>
      <c r="E113" s="20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>
        <v>4</v>
      </c>
      <c r="AC113" s="3">
        <v>4</v>
      </c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</row>
    <row r="114" spans="1:51" ht="13" x14ac:dyDescent="0.3">
      <c r="A114" s="23" t="s">
        <v>258</v>
      </c>
      <c r="B114" s="20"/>
      <c r="C114" s="20"/>
      <c r="D114" s="20"/>
      <c r="E114" s="20"/>
      <c r="F114" s="3"/>
      <c r="G114" s="3"/>
      <c r="H114" s="3">
        <v>1</v>
      </c>
      <c r="I114" s="3"/>
      <c r="J114" s="3"/>
      <c r="K114" s="3"/>
      <c r="L114" s="3"/>
      <c r="M114" s="3"/>
      <c r="N114" s="3"/>
      <c r="O114" s="3"/>
      <c r="P114" s="3"/>
      <c r="Q114" s="3"/>
      <c r="R114" s="3">
        <v>1</v>
      </c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</row>
    <row r="115" spans="1:51" ht="13" x14ac:dyDescent="0.3">
      <c r="A115" s="23" t="s">
        <v>445</v>
      </c>
      <c r="B115" s="20"/>
      <c r="C115" s="20"/>
      <c r="D115" s="20"/>
      <c r="E115" s="20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>
        <v>4</v>
      </c>
      <c r="AF115" s="3"/>
      <c r="AG115" s="3"/>
      <c r="AH115" s="3"/>
      <c r="AI115" s="3">
        <v>4</v>
      </c>
      <c r="AJ115" s="3"/>
      <c r="AK115" s="3"/>
      <c r="AL115" s="3"/>
      <c r="AM115" s="3">
        <v>4</v>
      </c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</row>
    <row r="116" spans="1:51" ht="13" x14ac:dyDescent="0.3">
      <c r="A116" s="23" t="s">
        <v>73</v>
      </c>
      <c r="B116" s="20">
        <v>2</v>
      </c>
      <c r="C116" s="20"/>
      <c r="D116" s="20"/>
      <c r="E116" s="20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>
        <v>1</v>
      </c>
      <c r="Z116" s="3">
        <v>1</v>
      </c>
      <c r="AA116" s="3">
        <v>1</v>
      </c>
      <c r="AB116" s="3">
        <v>2</v>
      </c>
      <c r="AC116" s="3">
        <v>2</v>
      </c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</row>
    <row r="117" spans="1:51" ht="13" x14ac:dyDescent="0.3">
      <c r="A117" s="23" t="s">
        <v>259</v>
      </c>
      <c r="B117" s="20">
        <v>3</v>
      </c>
      <c r="C117" s="20">
        <v>3</v>
      </c>
      <c r="D117" s="20"/>
      <c r="E117" s="20">
        <v>3</v>
      </c>
      <c r="F117" s="3"/>
      <c r="G117" s="3"/>
      <c r="H117" s="3">
        <v>1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</row>
    <row r="118" spans="1:51" ht="13" x14ac:dyDescent="0.3">
      <c r="A118" s="23" t="s">
        <v>74</v>
      </c>
      <c r="B118" s="20"/>
      <c r="C118" s="20"/>
      <c r="D118" s="20"/>
      <c r="E118" s="20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>
        <v>1</v>
      </c>
      <c r="AF118" s="3">
        <v>1</v>
      </c>
      <c r="AG118" s="3">
        <v>1</v>
      </c>
      <c r="AH118" s="3"/>
      <c r="AI118" s="3"/>
      <c r="AJ118" s="3"/>
      <c r="AK118" s="3">
        <v>2</v>
      </c>
      <c r="AL118" s="3"/>
      <c r="AM118" s="3">
        <v>2</v>
      </c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</row>
    <row r="119" spans="1:51" ht="13" x14ac:dyDescent="0.3">
      <c r="A119" s="23" t="s">
        <v>260</v>
      </c>
      <c r="B119" s="20"/>
      <c r="C119" s="20"/>
      <c r="D119" s="20"/>
      <c r="E119" s="20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>
        <v>1</v>
      </c>
      <c r="AQ119" s="3"/>
      <c r="AR119" s="3"/>
      <c r="AS119" s="3"/>
      <c r="AT119" s="3"/>
      <c r="AU119" s="3"/>
      <c r="AV119" s="3">
        <v>1</v>
      </c>
      <c r="AW119" s="3">
        <v>4</v>
      </c>
      <c r="AX119" s="3"/>
      <c r="AY119" s="3"/>
    </row>
    <row r="120" spans="1:51" ht="13" x14ac:dyDescent="0.3">
      <c r="A120" s="23" t="s">
        <v>387</v>
      </c>
      <c r="B120" s="20"/>
      <c r="C120" s="20"/>
      <c r="D120" s="20"/>
      <c r="E120" s="20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>
        <v>1</v>
      </c>
      <c r="AQ120" s="3"/>
      <c r="AR120" s="3"/>
      <c r="AS120" s="3"/>
      <c r="AT120" s="3"/>
      <c r="AU120" s="3"/>
      <c r="AV120" s="3"/>
      <c r="AW120" s="3"/>
      <c r="AX120" s="3"/>
      <c r="AY120" s="3"/>
    </row>
    <row r="121" spans="1:51" ht="13" x14ac:dyDescent="0.3">
      <c r="A121" s="23" t="s">
        <v>75</v>
      </c>
      <c r="B121" s="20"/>
      <c r="C121" s="20"/>
      <c r="D121" s="20"/>
      <c r="E121" s="20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>
        <v>1</v>
      </c>
      <c r="U121" s="3"/>
      <c r="V121" s="3">
        <v>1</v>
      </c>
      <c r="W121" s="3">
        <v>3</v>
      </c>
      <c r="X121" s="3">
        <v>1</v>
      </c>
      <c r="Y121" s="3">
        <v>1</v>
      </c>
      <c r="Z121" s="3"/>
      <c r="AA121" s="3"/>
      <c r="AB121" s="3">
        <v>1</v>
      </c>
      <c r="AC121" s="3">
        <v>1</v>
      </c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</row>
    <row r="122" spans="1:51" ht="13" x14ac:dyDescent="0.3">
      <c r="A122" s="23" t="s">
        <v>261</v>
      </c>
      <c r="B122" s="20"/>
      <c r="C122" s="20"/>
      <c r="D122" s="20"/>
      <c r="E122" s="20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>
        <v>1</v>
      </c>
      <c r="AX122" s="3"/>
      <c r="AY122" s="3"/>
    </row>
    <row r="123" spans="1:51" ht="13" x14ac:dyDescent="0.3">
      <c r="A123" s="23" t="s">
        <v>262</v>
      </c>
      <c r="B123" s="20"/>
      <c r="C123" s="20"/>
      <c r="D123" s="20"/>
      <c r="E123" s="20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>
        <v>1</v>
      </c>
      <c r="AS123" s="3">
        <v>1</v>
      </c>
      <c r="AT123" s="3">
        <v>1</v>
      </c>
      <c r="AU123" s="3"/>
      <c r="AV123" s="3"/>
      <c r="AW123" s="3"/>
      <c r="AX123" s="3"/>
      <c r="AY123" s="3">
        <v>1</v>
      </c>
    </row>
    <row r="124" spans="1:51" ht="13" x14ac:dyDescent="0.3">
      <c r="A124" s="23" t="s">
        <v>376</v>
      </c>
      <c r="B124" s="20"/>
      <c r="C124" s="20"/>
      <c r="D124" s="20"/>
      <c r="E124" s="20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>
        <v>1</v>
      </c>
      <c r="AW124" s="3"/>
      <c r="AX124" s="3"/>
      <c r="AY124" s="3"/>
    </row>
    <row r="125" spans="1:51" ht="13" x14ac:dyDescent="0.3">
      <c r="A125" s="23" t="s">
        <v>263</v>
      </c>
      <c r="B125" s="20"/>
      <c r="C125" s="20"/>
      <c r="D125" s="20"/>
      <c r="E125" s="20"/>
      <c r="F125" s="3"/>
      <c r="G125" s="3"/>
      <c r="H125" s="3"/>
      <c r="I125" s="3"/>
      <c r="J125" s="3">
        <v>1</v>
      </c>
      <c r="K125" s="3"/>
      <c r="L125" s="3"/>
      <c r="M125" s="3"/>
      <c r="N125" s="3"/>
      <c r="O125" s="3"/>
      <c r="P125" s="3"/>
      <c r="Q125" s="3">
        <v>1</v>
      </c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>
        <v>1</v>
      </c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</row>
    <row r="126" spans="1:51" ht="13" x14ac:dyDescent="0.3">
      <c r="A126" s="23" t="s">
        <v>264</v>
      </c>
      <c r="B126" s="20"/>
      <c r="C126" s="20"/>
      <c r="D126" s="20"/>
      <c r="E126" s="20"/>
      <c r="F126" s="3"/>
      <c r="G126" s="3"/>
      <c r="H126" s="3"/>
      <c r="I126" s="3"/>
      <c r="J126" s="3">
        <v>1</v>
      </c>
      <c r="K126" s="3"/>
      <c r="L126" s="3"/>
      <c r="M126" s="3"/>
      <c r="N126" s="3"/>
      <c r="O126" s="3"/>
      <c r="P126" s="3"/>
      <c r="Q126" s="3">
        <v>1</v>
      </c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>
        <v>1</v>
      </c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</row>
    <row r="127" spans="1:51" ht="13" x14ac:dyDescent="0.3">
      <c r="A127" s="23" t="s">
        <v>265</v>
      </c>
      <c r="B127" s="20"/>
      <c r="C127" s="20"/>
      <c r="D127" s="20"/>
      <c r="E127" s="20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>
        <v>1</v>
      </c>
      <c r="AQ127" s="3"/>
      <c r="AR127" s="3">
        <v>4</v>
      </c>
      <c r="AS127" s="3">
        <v>1</v>
      </c>
      <c r="AT127" s="3"/>
      <c r="AU127" s="3"/>
      <c r="AV127" s="3">
        <v>1</v>
      </c>
      <c r="AW127" s="3">
        <v>1</v>
      </c>
      <c r="AX127" s="3"/>
      <c r="AY127" s="3"/>
    </row>
    <row r="128" spans="1:51" ht="13" x14ac:dyDescent="0.3">
      <c r="A128" s="23" t="s">
        <v>76</v>
      </c>
      <c r="B128" s="20"/>
      <c r="C128" s="20"/>
      <c r="D128" s="20"/>
      <c r="E128" s="20"/>
      <c r="F128" s="3"/>
      <c r="G128" s="3"/>
      <c r="H128" s="3"/>
      <c r="I128" s="3"/>
      <c r="J128" s="3">
        <v>1</v>
      </c>
      <c r="K128" s="3"/>
      <c r="L128" s="3"/>
      <c r="M128" s="3"/>
      <c r="N128" s="3"/>
      <c r="O128" s="3"/>
      <c r="P128" s="3"/>
      <c r="Q128" s="3">
        <v>2</v>
      </c>
      <c r="R128" s="3"/>
      <c r="S128" s="3"/>
      <c r="T128" s="3"/>
      <c r="U128" s="3">
        <v>1</v>
      </c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>
        <v>1</v>
      </c>
      <c r="AH128" s="3"/>
      <c r="AI128" s="3"/>
      <c r="AJ128" s="3"/>
      <c r="AK128" s="3"/>
      <c r="AL128" s="3"/>
      <c r="AM128" s="3"/>
      <c r="AN128" s="3"/>
      <c r="AO128" s="3"/>
      <c r="AP128" s="3">
        <v>1</v>
      </c>
      <c r="AQ128" s="3">
        <v>1</v>
      </c>
      <c r="AR128" s="3">
        <v>1</v>
      </c>
      <c r="AS128" s="3">
        <v>1</v>
      </c>
      <c r="AT128" s="3">
        <v>1</v>
      </c>
      <c r="AU128" s="3">
        <v>1</v>
      </c>
      <c r="AV128" s="3"/>
      <c r="AW128" s="3"/>
      <c r="AX128" s="3"/>
      <c r="AY128" s="3">
        <v>1</v>
      </c>
    </row>
    <row r="129" spans="1:51" ht="13" x14ac:dyDescent="0.3">
      <c r="A129" s="23" t="s">
        <v>77</v>
      </c>
      <c r="B129" s="20"/>
      <c r="C129" s="20"/>
      <c r="D129" s="20"/>
      <c r="E129" s="20"/>
      <c r="F129" s="3">
        <v>3</v>
      </c>
      <c r="G129" s="3"/>
      <c r="H129" s="3">
        <v>3</v>
      </c>
      <c r="I129" s="3"/>
      <c r="J129" s="3"/>
      <c r="K129" s="3"/>
      <c r="L129" s="3"/>
      <c r="M129" s="3"/>
      <c r="N129" s="3"/>
      <c r="O129" s="3"/>
      <c r="P129" s="3"/>
      <c r="Q129" s="3"/>
      <c r="R129" s="3">
        <v>3</v>
      </c>
      <c r="S129" s="3"/>
      <c r="T129" s="3"/>
      <c r="U129" s="3"/>
      <c r="V129" s="3"/>
      <c r="W129" s="3"/>
      <c r="X129" s="3">
        <v>1</v>
      </c>
      <c r="Y129" s="3">
        <v>1</v>
      </c>
      <c r="Z129" s="3">
        <v>1</v>
      </c>
      <c r="AA129" s="3">
        <v>1</v>
      </c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</row>
    <row r="130" spans="1:51" ht="13" x14ac:dyDescent="0.3">
      <c r="A130" s="23" t="s">
        <v>78</v>
      </c>
      <c r="B130" s="20">
        <v>3</v>
      </c>
      <c r="C130" s="20"/>
      <c r="D130" s="20"/>
      <c r="E130" s="20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>
        <v>1</v>
      </c>
      <c r="Y130" s="3">
        <v>1</v>
      </c>
      <c r="Z130" s="3"/>
      <c r="AA130" s="3"/>
      <c r="AB130" s="3">
        <v>3</v>
      </c>
      <c r="AC130" s="3">
        <v>3</v>
      </c>
      <c r="AD130" s="3"/>
      <c r="AE130" s="3"/>
      <c r="AF130" s="3">
        <v>2</v>
      </c>
      <c r="AG130" s="3"/>
      <c r="AH130" s="3"/>
      <c r="AI130" s="3"/>
      <c r="AJ130" s="3">
        <v>2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</row>
    <row r="131" spans="1:51" ht="13" x14ac:dyDescent="0.3">
      <c r="A131" s="23" t="s">
        <v>410</v>
      </c>
      <c r="B131" s="20"/>
      <c r="C131" s="20"/>
      <c r="D131" s="20"/>
      <c r="E131" s="20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>
        <v>4</v>
      </c>
      <c r="AU131" s="3"/>
      <c r="AV131" s="3"/>
      <c r="AW131" s="3"/>
      <c r="AX131" s="3"/>
      <c r="AY131" s="3"/>
    </row>
    <row r="132" spans="1:51" ht="13" x14ac:dyDescent="0.3">
      <c r="A132" s="23" t="s">
        <v>266</v>
      </c>
      <c r="B132" s="20">
        <v>1</v>
      </c>
      <c r="C132" s="20"/>
      <c r="D132" s="20"/>
      <c r="E132" s="20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>
        <v>1</v>
      </c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>
        <v>1</v>
      </c>
      <c r="AL132" s="3"/>
      <c r="AM132" s="3">
        <v>1</v>
      </c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</row>
    <row r="133" spans="1:51" ht="13" x14ac:dyDescent="0.3">
      <c r="A133" s="23" t="s">
        <v>267</v>
      </c>
      <c r="B133" s="20"/>
      <c r="C133" s="20"/>
      <c r="D133" s="20"/>
      <c r="E133" s="20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>
        <v>1</v>
      </c>
      <c r="AQ133" s="3"/>
      <c r="AR133" s="3">
        <v>1</v>
      </c>
      <c r="AS133" s="3">
        <v>4</v>
      </c>
      <c r="AT133" s="3">
        <v>1</v>
      </c>
      <c r="AU133" s="3"/>
      <c r="AV133" s="3"/>
      <c r="AW133" s="3">
        <v>1</v>
      </c>
      <c r="AX133" s="3"/>
      <c r="AY133" s="3"/>
    </row>
    <row r="134" spans="1:51" ht="13" x14ac:dyDescent="0.3">
      <c r="A134" s="23" t="s">
        <v>79</v>
      </c>
      <c r="B134" s="20">
        <v>2</v>
      </c>
      <c r="C134" s="20"/>
      <c r="D134" s="20"/>
      <c r="E134" s="20"/>
      <c r="F134" s="3"/>
      <c r="G134" s="3"/>
      <c r="H134" s="3"/>
      <c r="I134" s="3"/>
      <c r="J134" s="3">
        <v>3</v>
      </c>
      <c r="K134" s="3"/>
      <c r="L134" s="3"/>
      <c r="M134" s="3"/>
      <c r="N134" s="3"/>
      <c r="O134" s="3"/>
      <c r="P134" s="3"/>
      <c r="Q134" s="3">
        <v>3</v>
      </c>
      <c r="R134" s="3"/>
      <c r="S134" s="3"/>
      <c r="T134" s="3"/>
      <c r="U134" s="3"/>
      <c r="V134" s="3"/>
      <c r="W134" s="3"/>
      <c r="X134" s="3">
        <v>1</v>
      </c>
      <c r="Y134" s="3">
        <v>1</v>
      </c>
      <c r="Z134" s="3">
        <v>1</v>
      </c>
      <c r="AA134" s="3">
        <v>1</v>
      </c>
      <c r="AB134" s="3">
        <v>1</v>
      </c>
      <c r="AC134" s="3">
        <v>1</v>
      </c>
      <c r="AD134" s="3"/>
      <c r="AE134" s="3"/>
      <c r="AF134" s="3"/>
      <c r="AG134" s="3">
        <v>1</v>
      </c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</row>
    <row r="135" spans="1:51" ht="13" x14ac:dyDescent="0.3">
      <c r="A135" s="23" t="s">
        <v>380</v>
      </c>
      <c r="B135" s="20"/>
      <c r="C135" s="20"/>
      <c r="D135" s="20"/>
      <c r="E135" s="20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>
        <v>1</v>
      </c>
      <c r="AW135" s="3"/>
      <c r="AX135" s="3"/>
      <c r="AY135" s="3"/>
    </row>
    <row r="136" spans="1:51" ht="13" x14ac:dyDescent="0.3">
      <c r="A136" s="23" t="s">
        <v>80</v>
      </c>
      <c r="B136" s="20"/>
      <c r="C136" s="20"/>
      <c r="D136" s="20"/>
      <c r="E136" s="20"/>
      <c r="F136" s="3"/>
      <c r="G136" s="3"/>
      <c r="H136" s="3"/>
      <c r="I136" s="3"/>
      <c r="J136" s="3">
        <v>2</v>
      </c>
      <c r="K136" s="3"/>
      <c r="L136" s="3"/>
      <c r="M136" s="3"/>
      <c r="N136" s="3"/>
      <c r="O136" s="3"/>
      <c r="P136" s="3"/>
      <c r="Q136" s="3">
        <v>2</v>
      </c>
      <c r="R136" s="3"/>
      <c r="S136" s="3"/>
      <c r="T136" s="3">
        <v>3</v>
      </c>
      <c r="U136" s="3">
        <v>3</v>
      </c>
      <c r="V136" s="3"/>
      <c r="W136" s="3"/>
      <c r="X136" s="3"/>
      <c r="Y136" s="3">
        <v>1</v>
      </c>
      <c r="Z136" s="3">
        <v>1</v>
      </c>
      <c r="AA136" s="3">
        <v>1</v>
      </c>
      <c r="AB136" s="3">
        <v>4</v>
      </c>
      <c r="AC136" s="3">
        <v>4</v>
      </c>
      <c r="AD136" s="3"/>
      <c r="AE136" s="3"/>
      <c r="AF136" s="3"/>
      <c r="AG136" s="3">
        <v>2</v>
      </c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</row>
    <row r="137" spans="1:51" ht="13" x14ac:dyDescent="0.3">
      <c r="A137" s="23" t="s">
        <v>81</v>
      </c>
      <c r="B137" s="20"/>
      <c r="C137" s="20"/>
      <c r="D137" s="20"/>
      <c r="E137" s="20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>
        <v>3</v>
      </c>
      <c r="Y137" s="3">
        <v>3</v>
      </c>
      <c r="Z137" s="3">
        <v>3</v>
      </c>
      <c r="AA137" s="3">
        <v>3</v>
      </c>
      <c r="AB137" s="3">
        <v>3</v>
      </c>
      <c r="AC137" s="3">
        <v>3</v>
      </c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</row>
    <row r="138" spans="1:51" ht="13" x14ac:dyDescent="0.3">
      <c r="A138" s="23" t="s">
        <v>268</v>
      </c>
      <c r="B138" s="20"/>
      <c r="C138" s="20"/>
      <c r="D138" s="20"/>
      <c r="E138" s="20"/>
      <c r="F138" s="3"/>
      <c r="G138" s="3"/>
      <c r="H138" s="3"/>
      <c r="I138" s="3"/>
      <c r="J138" s="3">
        <v>1</v>
      </c>
      <c r="K138" s="3"/>
      <c r="L138" s="3"/>
      <c r="M138" s="3"/>
      <c r="N138" s="3"/>
      <c r="O138" s="3"/>
      <c r="P138" s="3"/>
      <c r="Q138" s="3">
        <v>1</v>
      </c>
      <c r="R138" s="3"/>
      <c r="S138" s="3"/>
      <c r="T138" s="3">
        <v>1</v>
      </c>
      <c r="U138" s="3">
        <v>1</v>
      </c>
      <c r="V138" s="3"/>
      <c r="W138" s="3">
        <v>3</v>
      </c>
      <c r="X138" s="3"/>
      <c r="Y138" s="3"/>
      <c r="Z138" s="3"/>
      <c r="AA138" s="3"/>
      <c r="AB138" s="3"/>
      <c r="AC138" s="3"/>
      <c r="AD138" s="3"/>
      <c r="AE138" s="3"/>
      <c r="AF138" s="3"/>
      <c r="AG138" s="3">
        <v>1</v>
      </c>
      <c r="AH138" s="3"/>
      <c r="AI138" s="3"/>
      <c r="AJ138" s="3"/>
      <c r="AK138" s="3"/>
      <c r="AL138" s="3"/>
      <c r="AM138" s="3">
        <v>1</v>
      </c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</row>
    <row r="139" spans="1:51" ht="13" x14ac:dyDescent="0.3">
      <c r="A139" s="23" t="s">
        <v>82</v>
      </c>
      <c r="B139" s="20"/>
      <c r="C139" s="20"/>
      <c r="D139" s="20"/>
      <c r="E139" s="20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>
        <v>3</v>
      </c>
      <c r="X139" s="3">
        <v>1</v>
      </c>
      <c r="Y139" s="3">
        <v>1</v>
      </c>
      <c r="Z139" s="3"/>
      <c r="AA139" s="3"/>
      <c r="AB139" s="3">
        <v>1</v>
      </c>
      <c r="AC139" s="3">
        <v>1</v>
      </c>
      <c r="AD139" s="3"/>
      <c r="AE139" s="3"/>
      <c r="AF139" s="3">
        <v>4</v>
      </c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</row>
    <row r="140" spans="1:51" ht="13" x14ac:dyDescent="0.3">
      <c r="A140" s="23" t="s">
        <v>269</v>
      </c>
      <c r="B140" s="20"/>
      <c r="C140" s="20"/>
      <c r="D140" s="20"/>
      <c r="E140" s="20"/>
      <c r="F140" s="3"/>
      <c r="G140" s="3"/>
      <c r="H140" s="3"/>
      <c r="I140" s="3"/>
      <c r="J140" s="3"/>
      <c r="K140" s="3">
        <v>1</v>
      </c>
      <c r="L140" s="3"/>
      <c r="M140" s="3">
        <v>1</v>
      </c>
      <c r="N140" s="3">
        <v>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>
        <v>1</v>
      </c>
      <c r="AI140" s="3"/>
      <c r="AJ140" s="3"/>
      <c r="AK140" s="3"/>
      <c r="AL140" s="3">
        <v>1</v>
      </c>
      <c r="AM140" s="3">
        <v>1</v>
      </c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</row>
    <row r="141" spans="1:51" ht="13" x14ac:dyDescent="0.3">
      <c r="A141" s="23" t="s">
        <v>270</v>
      </c>
      <c r="B141" s="20">
        <v>1</v>
      </c>
      <c r="C141" s="20"/>
      <c r="D141" s="20"/>
      <c r="E141" s="20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>
        <v>1</v>
      </c>
      <c r="Y141" s="3">
        <v>1</v>
      </c>
      <c r="Z141" s="3"/>
      <c r="AA141" s="3"/>
      <c r="AB141" s="3">
        <v>1</v>
      </c>
      <c r="AC141" s="3">
        <v>1</v>
      </c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>
        <v>1</v>
      </c>
      <c r="AX141" s="3"/>
      <c r="AY141" s="3"/>
    </row>
    <row r="142" spans="1:51" ht="13" x14ac:dyDescent="0.3">
      <c r="A142" s="23" t="s">
        <v>432</v>
      </c>
      <c r="B142" s="20"/>
      <c r="C142" s="20"/>
      <c r="D142" s="20"/>
      <c r="E142" s="20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>
        <v>1</v>
      </c>
      <c r="AF142" s="3"/>
      <c r="AG142" s="3"/>
      <c r="AH142" s="3"/>
      <c r="AI142" s="3">
        <v>1</v>
      </c>
      <c r="AJ142" s="3"/>
      <c r="AK142" s="3"/>
      <c r="AL142" s="3"/>
      <c r="AM142" s="3">
        <v>1</v>
      </c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</row>
    <row r="143" spans="1:51" ht="13" x14ac:dyDescent="0.3">
      <c r="A143" s="23" t="s">
        <v>271</v>
      </c>
      <c r="B143" s="20"/>
      <c r="C143" s="20"/>
      <c r="D143" s="20"/>
      <c r="E143" s="20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>
        <v>1</v>
      </c>
      <c r="AS143" s="3"/>
      <c r="AT143" s="3"/>
      <c r="AU143" s="3"/>
      <c r="AV143" s="3"/>
      <c r="AW143" s="3"/>
      <c r="AX143" s="3"/>
      <c r="AY143" s="3"/>
    </row>
    <row r="144" spans="1:51" ht="13" x14ac:dyDescent="0.3">
      <c r="A144" s="23" t="s">
        <v>84</v>
      </c>
      <c r="B144" s="20"/>
      <c r="C144" s="20"/>
      <c r="D144" s="20"/>
      <c r="E144" s="20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>
        <v>2</v>
      </c>
      <c r="Z144" s="3">
        <v>1</v>
      </c>
      <c r="AA144" s="3">
        <v>2</v>
      </c>
      <c r="AB144" s="3">
        <v>1</v>
      </c>
      <c r="AC144" s="3">
        <v>1</v>
      </c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</row>
    <row r="145" spans="1:51" ht="13" x14ac:dyDescent="0.3">
      <c r="A145" s="23" t="s">
        <v>377</v>
      </c>
      <c r="B145" s="20"/>
      <c r="C145" s="20"/>
      <c r="D145" s="20"/>
      <c r="E145" s="20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>
        <v>4</v>
      </c>
      <c r="AL145" s="3"/>
      <c r="AM145" s="3">
        <v>4</v>
      </c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</row>
    <row r="146" spans="1:51" ht="13" x14ac:dyDescent="0.3">
      <c r="A146" s="23" t="s">
        <v>272</v>
      </c>
      <c r="B146" s="20"/>
      <c r="C146" s="20"/>
      <c r="D146" s="20"/>
      <c r="E146" s="20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>
        <v>1</v>
      </c>
      <c r="AS146" s="3"/>
      <c r="AT146" s="3"/>
      <c r="AU146" s="3"/>
      <c r="AV146" s="3">
        <v>1</v>
      </c>
      <c r="AW146" s="3">
        <v>1</v>
      </c>
      <c r="AX146" s="3"/>
      <c r="AY146" s="3"/>
    </row>
    <row r="147" spans="1:51" ht="13" x14ac:dyDescent="0.3">
      <c r="A147" s="23" t="s">
        <v>428</v>
      </c>
      <c r="B147" s="20"/>
      <c r="C147" s="20"/>
      <c r="D147" s="20"/>
      <c r="E147" s="20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>
        <v>4</v>
      </c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</row>
    <row r="148" spans="1:51" ht="13" x14ac:dyDescent="0.3">
      <c r="A148" s="23" t="s">
        <v>388</v>
      </c>
      <c r="B148" s="20"/>
      <c r="C148" s="20"/>
      <c r="D148" s="20"/>
      <c r="E148" s="20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>
        <v>1</v>
      </c>
      <c r="AQ148" s="3"/>
      <c r="AR148" s="3"/>
      <c r="AS148" s="3"/>
      <c r="AT148" s="3"/>
      <c r="AU148" s="3"/>
      <c r="AV148" s="3"/>
      <c r="AW148" s="3"/>
      <c r="AX148" s="3"/>
      <c r="AY148" s="3"/>
    </row>
    <row r="149" spans="1:51" ht="13" x14ac:dyDescent="0.3">
      <c r="A149" s="23" t="s">
        <v>273</v>
      </c>
      <c r="B149" s="20">
        <v>3</v>
      </c>
      <c r="C149" s="20">
        <v>3</v>
      </c>
      <c r="D149" s="20">
        <v>1</v>
      </c>
      <c r="E149" s="20">
        <v>1</v>
      </c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>
        <v>4</v>
      </c>
      <c r="AS149" s="3"/>
      <c r="AT149" s="3"/>
      <c r="AU149" s="3"/>
      <c r="AV149" s="3"/>
      <c r="AW149" s="3"/>
      <c r="AX149" s="3"/>
      <c r="AY149" s="3"/>
    </row>
    <row r="150" spans="1:51" ht="13" x14ac:dyDescent="0.3">
      <c r="A150" s="23" t="s">
        <v>274</v>
      </c>
      <c r="B150" s="20"/>
      <c r="C150" s="20"/>
      <c r="D150" s="20"/>
      <c r="E150" s="20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>
        <v>1</v>
      </c>
      <c r="AW150" s="3">
        <v>1</v>
      </c>
      <c r="AX150" s="3"/>
      <c r="AY150" s="3"/>
    </row>
    <row r="151" spans="1:51" ht="13" x14ac:dyDescent="0.3">
      <c r="A151" s="23" t="s">
        <v>275</v>
      </c>
      <c r="B151" s="20">
        <v>3</v>
      </c>
      <c r="C151" s="20">
        <v>3</v>
      </c>
      <c r="D151" s="20"/>
      <c r="E151" s="20">
        <v>3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</row>
    <row r="152" spans="1:51" ht="13" x14ac:dyDescent="0.3">
      <c r="A152" s="23" t="s">
        <v>85</v>
      </c>
      <c r="B152" s="20"/>
      <c r="C152" s="20"/>
      <c r="D152" s="20"/>
      <c r="E152" s="20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>
        <v>2</v>
      </c>
      <c r="AN152" s="3">
        <v>4</v>
      </c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</row>
    <row r="153" spans="1:51" ht="13" x14ac:dyDescent="0.3">
      <c r="A153" s="23" t="s">
        <v>276</v>
      </c>
      <c r="B153" s="20"/>
      <c r="C153" s="20"/>
      <c r="D153" s="20"/>
      <c r="E153" s="20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>
        <v>4</v>
      </c>
      <c r="AC153" s="3">
        <v>4</v>
      </c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>
        <v>1</v>
      </c>
      <c r="AQ153" s="3"/>
      <c r="AR153" s="3"/>
      <c r="AS153" s="3"/>
      <c r="AT153" s="3"/>
      <c r="AU153" s="3"/>
      <c r="AV153" s="3"/>
      <c r="AW153" s="3"/>
      <c r="AX153" s="3"/>
      <c r="AY153" s="3"/>
    </row>
    <row r="154" spans="1:51" ht="13" x14ac:dyDescent="0.3">
      <c r="A154" s="23" t="s">
        <v>87</v>
      </c>
      <c r="B154" s="20">
        <v>3</v>
      </c>
      <c r="C154" s="20"/>
      <c r="D154" s="20"/>
      <c r="E154" s="20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>
        <v>1</v>
      </c>
      <c r="Y154" s="3">
        <v>3</v>
      </c>
      <c r="Z154" s="3">
        <v>1</v>
      </c>
      <c r="AA154" s="3">
        <v>3</v>
      </c>
      <c r="AB154" s="3">
        <v>1</v>
      </c>
      <c r="AC154" s="3">
        <v>1</v>
      </c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</row>
    <row r="155" spans="1:51" ht="13" x14ac:dyDescent="0.3">
      <c r="A155" s="23" t="s">
        <v>88</v>
      </c>
      <c r="B155" s="20"/>
      <c r="C155" s="20"/>
      <c r="D155" s="20"/>
      <c r="E155" s="20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>
        <v>3</v>
      </c>
      <c r="Y155" s="3"/>
      <c r="Z155" s="3">
        <v>3</v>
      </c>
      <c r="AA155" s="3">
        <v>2</v>
      </c>
      <c r="AB155" s="3">
        <v>2</v>
      </c>
      <c r="AC155" s="3">
        <v>2</v>
      </c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>
        <v>1</v>
      </c>
      <c r="AS155" s="3"/>
      <c r="AT155" s="3"/>
      <c r="AU155" s="3"/>
      <c r="AV155" s="3"/>
      <c r="AW155" s="3">
        <v>4</v>
      </c>
      <c r="AX155" s="3"/>
      <c r="AY155" s="3"/>
    </row>
    <row r="156" spans="1:51" ht="13" x14ac:dyDescent="0.3">
      <c r="A156" s="23" t="s">
        <v>277</v>
      </c>
      <c r="B156" s="20">
        <v>3</v>
      </c>
      <c r="C156" s="20">
        <v>3</v>
      </c>
      <c r="D156" s="20">
        <v>3</v>
      </c>
      <c r="E156" s="20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</row>
    <row r="157" spans="1:51" ht="13" x14ac:dyDescent="0.3">
      <c r="A157" s="23" t="s">
        <v>278</v>
      </c>
      <c r="B157" s="20"/>
      <c r="C157" s="20"/>
      <c r="D157" s="20"/>
      <c r="E157" s="20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>
        <v>1</v>
      </c>
      <c r="AS157" s="3"/>
      <c r="AT157" s="3"/>
      <c r="AU157" s="3"/>
      <c r="AV157" s="3"/>
      <c r="AW157" s="3">
        <v>1</v>
      </c>
      <c r="AX157" s="3"/>
      <c r="AY157" s="3"/>
    </row>
    <row r="158" spans="1:51" ht="13" x14ac:dyDescent="0.3">
      <c r="A158" s="23" t="s">
        <v>279</v>
      </c>
      <c r="B158" s="20"/>
      <c r="C158" s="20"/>
      <c r="D158" s="20"/>
      <c r="E158" s="20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>
        <v>1</v>
      </c>
      <c r="AX158" s="3"/>
      <c r="AY158" s="3"/>
    </row>
    <row r="159" spans="1:51" ht="13" x14ac:dyDescent="0.3">
      <c r="A159" s="23" t="s">
        <v>89</v>
      </c>
      <c r="B159" s="20"/>
      <c r="C159" s="20"/>
      <c r="D159" s="20"/>
      <c r="E159" s="20"/>
      <c r="F159" s="3">
        <v>1</v>
      </c>
      <c r="G159" s="3">
        <v>1</v>
      </c>
      <c r="H159" s="3"/>
      <c r="I159" s="3">
        <v>1</v>
      </c>
      <c r="J159" s="3"/>
      <c r="K159" s="3"/>
      <c r="L159" s="3"/>
      <c r="M159" s="3"/>
      <c r="N159" s="3"/>
      <c r="O159" s="3"/>
      <c r="P159" s="3"/>
      <c r="Q159" s="3"/>
      <c r="R159" s="3">
        <v>3</v>
      </c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</row>
    <row r="160" spans="1:51" ht="13" x14ac:dyDescent="0.3">
      <c r="A160" s="23" t="s">
        <v>90</v>
      </c>
      <c r="B160" s="20">
        <v>1</v>
      </c>
      <c r="C160" s="20"/>
      <c r="D160" s="20"/>
      <c r="E160" s="20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>
        <v>2</v>
      </c>
      <c r="R160" s="3"/>
      <c r="S160" s="3"/>
      <c r="T160" s="3"/>
      <c r="U160" s="3"/>
      <c r="V160" s="3"/>
      <c r="W160" s="3"/>
      <c r="X160" s="3">
        <v>1</v>
      </c>
      <c r="Y160" s="3">
        <v>1</v>
      </c>
      <c r="Z160" s="3"/>
      <c r="AA160" s="3"/>
      <c r="AB160" s="3">
        <v>1</v>
      </c>
      <c r="AC160" s="3">
        <v>1</v>
      </c>
      <c r="AD160" s="3"/>
      <c r="AE160" s="3"/>
      <c r="AF160" s="3">
        <v>1</v>
      </c>
      <c r="AG160" s="3">
        <v>2</v>
      </c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</row>
    <row r="161" spans="1:51" ht="13" x14ac:dyDescent="0.3">
      <c r="A161" s="23" t="s">
        <v>417</v>
      </c>
      <c r="B161" s="20"/>
      <c r="C161" s="20"/>
      <c r="D161" s="20"/>
      <c r="E161" s="20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>
        <v>4</v>
      </c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</row>
    <row r="162" spans="1:51" ht="13" x14ac:dyDescent="0.3">
      <c r="A162" s="23" t="s">
        <v>280</v>
      </c>
      <c r="B162" s="20"/>
      <c r="C162" s="20"/>
      <c r="D162" s="20"/>
      <c r="E162" s="20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>
        <v>1</v>
      </c>
      <c r="AQ162" s="3">
        <v>1</v>
      </c>
      <c r="AR162" s="3">
        <v>1</v>
      </c>
      <c r="AS162" s="3">
        <v>1</v>
      </c>
      <c r="AT162" s="3">
        <v>1</v>
      </c>
      <c r="AU162" s="3"/>
      <c r="AV162" s="3"/>
      <c r="AW162" s="3">
        <v>1</v>
      </c>
      <c r="AX162" s="3"/>
      <c r="AY162" s="3"/>
    </row>
    <row r="163" spans="1:51" ht="13" x14ac:dyDescent="0.3">
      <c r="A163" s="23" t="s">
        <v>281</v>
      </c>
      <c r="B163" s="20"/>
      <c r="C163" s="20"/>
      <c r="D163" s="20"/>
      <c r="E163" s="20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>
        <v>1</v>
      </c>
      <c r="AQ163" s="3"/>
      <c r="AR163" s="3"/>
      <c r="AS163" s="3"/>
      <c r="AT163" s="3">
        <v>1</v>
      </c>
      <c r="AU163" s="3"/>
      <c r="AV163" s="3"/>
      <c r="AW163" s="3"/>
      <c r="AX163" s="3"/>
      <c r="AY163" s="3"/>
    </row>
    <row r="164" spans="1:51" ht="13" x14ac:dyDescent="0.3">
      <c r="A164" s="23" t="s">
        <v>282</v>
      </c>
      <c r="B164" s="20"/>
      <c r="C164" s="20"/>
      <c r="D164" s="20"/>
      <c r="E164" s="20"/>
      <c r="F164" s="3"/>
      <c r="G164" s="3"/>
      <c r="H164" s="3"/>
      <c r="I164" s="3"/>
      <c r="J164" s="3">
        <v>3</v>
      </c>
      <c r="K164" s="3"/>
      <c r="L164" s="3"/>
      <c r="M164" s="3"/>
      <c r="N164" s="3"/>
      <c r="O164" s="3"/>
      <c r="P164" s="3"/>
      <c r="Q164" s="3">
        <v>3</v>
      </c>
      <c r="R164" s="3"/>
      <c r="S164" s="3"/>
      <c r="T164" s="3"/>
      <c r="U164" s="3"/>
      <c r="V164" s="3"/>
      <c r="W164" s="3">
        <v>2</v>
      </c>
      <c r="X164" s="3"/>
      <c r="Y164" s="3"/>
      <c r="Z164" s="3"/>
      <c r="AA164" s="3"/>
      <c r="AB164" s="3"/>
      <c r="AC164" s="3"/>
      <c r="AD164" s="3"/>
      <c r="AE164" s="3"/>
      <c r="AF164" s="3"/>
      <c r="AG164" s="3">
        <v>1</v>
      </c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</row>
    <row r="165" spans="1:51" ht="13" x14ac:dyDescent="0.3">
      <c r="A165" s="23" t="s">
        <v>283</v>
      </c>
      <c r="B165" s="20"/>
      <c r="C165" s="20"/>
      <c r="D165" s="20">
        <v>1</v>
      </c>
      <c r="E165" s="20">
        <v>1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</row>
    <row r="166" spans="1:51" ht="13" x14ac:dyDescent="0.3">
      <c r="A166" s="23" t="s">
        <v>91</v>
      </c>
      <c r="B166" s="20"/>
      <c r="C166" s="20"/>
      <c r="D166" s="20"/>
      <c r="E166" s="20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>
        <v>1</v>
      </c>
      <c r="U166" s="3"/>
      <c r="V166" s="3">
        <v>1</v>
      </c>
      <c r="W166" s="3"/>
      <c r="X166" s="3">
        <v>3</v>
      </c>
      <c r="Y166" s="3">
        <v>3</v>
      </c>
      <c r="Z166" s="3">
        <v>3</v>
      </c>
      <c r="AA166" s="3">
        <v>3</v>
      </c>
      <c r="AB166" s="3">
        <v>3</v>
      </c>
      <c r="AC166" s="3">
        <v>3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</row>
    <row r="167" spans="1:51" ht="13" x14ac:dyDescent="0.3">
      <c r="A167" s="23" t="s">
        <v>464</v>
      </c>
      <c r="B167" s="20"/>
      <c r="C167" s="20"/>
      <c r="D167" s="20"/>
      <c r="E167" s="20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>
        <v>4</v>
      </c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</row>
    <row r="168" spans="1:51" ht="13" x14ac:dyDescent="0.3">
      <c r="A168" s="23" t="s">
        <v>284</v>
      </c>
      <c r="B168" s="20"/>
      <c r="C168" s="20"/>
      <c r="D168" s="20"/>
      <c r="E168" s="20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>
        <v>1</v>
      </c>
      <c r="AQ168" s="3"/>
      <c r="AR168" s="3"/>
      <c r="AS168" s="3"/>
      <c r="AT168" s="3"/>
      <c r="AU168" s="3"/>
      <c r="AV168" s="3"/>
      <c r="AW168" s="3"/>
      <c r="AX168" s="3"/>
      <c r="AY168" s="3"/>
    </row>
    <row r="169" spans="1:51" ht="13" x14ac:dyDescent="0.3">
      <c r="A169" s="23" t="s">
        <v>92</v>
      </c>
      <c r="B169" s="20"/>
      <c r="C169" s="20"/>
      <c r="D169" s="20"/>
      <c r="E169" s="20"/>
      <c r="F169" s="3"/>
      <c r="G169" s="3"/>
      <c r="H169" s="3"/>
      <c r="I169" s="3"/>
      <c r="J169" s="3">
        <v>3</v>
      </c>
      <c r="K169" s="3"/>
      <c r="L169" s="3"/>
      <c r="M169" s="3"/>
      <c r="N169" s="3"/>
      <c r="O169" s="3"/>
      <c r="P169" s="3"/>
      <c r="Q169" s="3">
        <v>3</v>
      </c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>
        <v>3</v>
      </c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</row>
    <row r="170" spans="1:51" ht="13" x14ac:dyDescent="0.3">
      <c r="A170" s="23" t="s">
        <v>94</v>
      </c>
      <c r="B170" s="20">
        <v>3</v>
      </c>
      <c r="C170" s="20"/>
      <c r="D170" s="20"/>
      <c r="E170" s="20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>
        <v>1</v>
      </c>
      <c r="AL170" s="3"/>
      <c r="AM170" s="3">
        <v>2</v>
      </c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</row>
    <row r="171" spans="1:51" ht="13" x14ac:dyDescent="0.3">
      <c r="A171" s="23" t="s">
        <v>95</v>
      </c>
      <c r="B171" s="20">
        <v>2</v>
      </c>
      <c r="C171" s="20"/>
      <c r="D171" s="20"/>
      <c r="E171" s="20"/>
      <c r="F171" s="3">
        <v>2</v>
      </c>
      <c r="G171" s="3"/>
      <c r="H171" s="3">
        <v>2</v>
      </c>
      <c r="I171" s="3"/>
      <c r="J171" s="3"/>
      <c r="K171" s="3"/>
      <c r="L171" s="3"/>
      <c r="M171" s="3"/>
      <c r="N171" s="3"/>
      <c r="O171" s="3"/>
      <c r="P171" s="3"/>
      <c r="Q171" s="3"/>
      <c r="R171" s="3">
        <v>3</v>
      </c>
      <c r="S171" s="3">
        <v>2</v>
      </c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>
        <v>4</v>
      </c>
      <c r="AS171" s="3"/>
      <c r="AT171" s="3"/>
      <c r="AU171" s="3"/>
      <c r="AV171" s="3"/>
      <c r="AW171" s="3"/>
      <c r="AX171" s="3"/>
      <c r="AY171" s="3"/>
    </row>
    <row r="172" spans="1:51" ht="13" x14ac:dyDescent="0.3">
      <c r="A172" s="23" t="s">
        <v>96</v>
      </c>
      <c r="B172" s="20"/>
      <c r="C172" s="20"/>
      <c r="D172" s="20"/>
      <c r="E172" s="20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>
        <v>2</v>
      </c>
      <c r="AA172" s="3">
        <v>2</v>
      </c>
      <c r="AB172" s="3">
        <v>2</v>
      </c>
      <c r="AC172" s="3">
        <v>2</v>
      </c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</row>
    <row r="173" spans="1:51" ht="13" x14ac:dyDescent="0.3">
      <c r="A173" s="23" t="s">
        <v>97</v>
      </c>
      <c r="B173" s="20"/>
      <c r="C173" s="20"/>
      <c r="D173" s="20"/>
      <c r="E173" s="20"/>
      <c r="F173" s="3"/>
      <c r="G173" s="3"/>
      <c r="H173" s="3"/>
      <c r="I173" s="3"/>
      <c r="J173" s="3">
        <v>1</v>
      </c>
      <c r="K173" s="3"/>
      <c r="L173" s="3"/>
      <c r="M173" s="3"/>
      <c r="N173" s="3"/>
      <c r="O173" s="3"/>
      <c r="P173" s="3"/>
      <c r="Q173" s="3">
        <v>1</v>
      </c>
      <c r="R173" s="3"/>
      <c r="S173" s="3"/>
      <c r="T173" s="3">
        <v>2</v>
      </c>
      <c r="U173" s="3"/>
      <c r="V173" s="3"/>
      <c r="W173" s="3">
        <v>3</v>
      </c>
      <c r="X173" s="3">
        <v>1</v>
      </c>
      <c r="Y173" s="3">
        <v>1</v>
      </c>
      <c r="Z173" s="3"/>
      <c r="AA173" s="3"/>
      <c r="AB173" s="3">
        <v>1</v>
      </c>
      <c r="AC173" s="3">
        <v>1</v>
      </c>
      <c r="AD173" s="3"/>
      <c r="AE173" s="3"/>
      <c r="AF173" s="3">
        <v>1</v>
      </c>
      <c r="AG173" s="3">
        <v>1</v>
      </c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</row>
    <row r="174" spans="1:51" ht="13" x14ac:dyDescent="0.3">
      <c r="A174" s="23" t="s">
        <v>98</v>
      </c>
      <c r="B174" s="20"/>
      <c r="C174" s="20"/>
      <c r="D174" s="20"/>
      <c r="E174" s="20"/>
      <c r="F174" s="3">
        <v>1</v>
      </c>
      <c r="G174" s="3"/>
      <c r="H174" s="3">
        <v>2</v>
      </c>
      <c r="I174" s="3"/>
      <c r="J174" s="3">
        <v>3</v>
      </c>
      <c r="K174" s="3">
        <v>3</v>
      </c>
      <c r="L174" s="3"/>
      <c r="M174" s="3">
        <v>3</v>
      </c>
      <c r="N174" s="3">
        <v>3</v>
      </c>
      <c r="O174" s="3"/>
      <c r="P174" s="3"/>
      <c r="Q174" s="3">
        <v>3</v>
      </c>
      <c r="R174" s="3"/>
      <c r="S174" s="3">
        <v>1</v>
      </c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>
        <v>3</v>
      </c>
      <c r="AI174" s="3"/>
      <c r="AJ174" s="3"/>
      <c r="AK174" s="3"/>
      <c r="AL174" s="3">
        <v>3</v>
      </c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</row>
    <row r="175" spans="1:51" ht="13" x14ac:dyDescent="0.3">
      <c r="A175" s="23" t="s">
        <v>99</v>
      </c>
      <c r="B175" s="20"/>
      <c r="C175" s="20"/>
      <c r="D175" s="20"/>
      <c r="E175" s="20"/>
      <c r="F175" s="3"/>
      <c r="G175" s="3"/>
      <c r="H175" s="3">
        <v>3</v>
      </c>
      <c r="I175" s="3"/>
      <c r="J175" s="3">
        <v>3</v>
      </c>
      <c r="K175" s="3">
        <v>2</v>
      </c>
      <c r="L175" s="3"/>
      <c r="M175" s="3">
        <v>2</v>
      </c>
      <c r="N175" s="3">
        <v>2</v>
      </c>
      <c r="O175" s="3"/>
      <c r="P175" s="3"/>
      <c r="Q175" s="3">
        <v>3</v>
      </c>
      <c r="R175" s="3"/>
      <c r="S175" s="3">
        <v>1</v>
      </c>
      <c r="T175" s="3"/>
      <c r="U175" s="3"/>
      <c r="V175" s="3"/>
      <c r="W175" s="3"/>
      <c r="X175" s="3">
        <v>3</v>
      </c>
      <c r="Y175" s="3">
        <v>3</v>
      </c>
      <c r="Z175" s="3">
        <v>1</v>
      </c>
      <c r="AA175" s="3">
        <v>1</v>
      </c>
      <c r="AB175" s="3">
        <v>3</v>
      </c>
      <c r="AC175" s="3">
        <v>3</v>
      </c>
      <c r="AD175" s="3"/>
      <c r="AE175" s="3"/>
      <c r="AF175" s="3">
        <v>2</v>
      </c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</row>
    <row r="176" spans="1:51" ht="13" x14ac:dyDescent="0.3">
      <c r="A176" s="23" t="s">
        <v>100</v>
      </c>
      <c r="B176" s="20"/>
      <c r="C176" s="20"/>
      <c r="D176" s="20"/>
      <c r="E176" s="20"/>
      <c r="F176" s="3"/>
      <c r="G176" s="3"/>
      <c r="H176" s="3"/>
      <c r="I176" s="3"/>
      <c r="J176" s="3"/>
      <c r="K176" s="3">
        <v>2</v>
      </c>
      <c r="L176" s="3"/>
      <c r="M176" s="3">
        <v>2</v>
      </c>
      <c r="N176" s="3">
        <v>2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>
        <v>2</v>
      </c>
      <c r="AI176" s="3"/>
      <c r="AJ176" s="3"/>
      <c r="AK176" s="3"/>
      <c r="AL176" s="3">
        <v>2</v>
      </c>
      <c r="AM176" s="3">
        <v>1</v>
      </c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</row>
    <row r="177" spans="1:51" ht="13" x14ac:dyDescent="0.3">
      <c r="A177" s="23" t="s">
        <v>384</v>
      </c>
      <c r="B177" s="20"/>
      <c r="C177" s="20"/>
      <c r="D177" s="20"/>
      <c r="E177" s="20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>
        <v>1</v>
      </c>
      <c r="AL177" s="3"/>
      <c r="AM177" s="3">
        <v>1</v>
      </c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</row>
    <row r="178" spans="1:51" ht="13" x14ac:dyDescent="0.3">
      <c r="A178" s="23" t="s">
        <v>101</v>
      </c>
      <c r="B178" s="20"/>
      <c r="C178" s="20"/>
      <c r="D178" s="20"/>
      <c r="E178" s="20"/>
      <c r="F178" s="3">
        <v>4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>
        <v>2</v>
      </c>
      <c r="R178" s="3"/>
      <c r="S178" s="3"/>
      <c r="T178" s="3"/>
      <c r="U178" s="3"/>
      <c r="V178" s="3"/>
      <c r="W178" s="3"/>
      <c r="X178" s="3">
        <v>2</v>
      </c>
      <c r="Y178" s="3">
        <v>2</v>
      </c>
      <c r="Z178" s="3">
        <v>2</v>
      </c>
      <c r="AA178" s="3">
        <v>2</v>
      </c>
      <c r="AB178" s="3"/>
      <c r="AC178" s="3"/>
      <c r="AD178" s="3">
        <v>2</v>
      </c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</row>
    <row r="179" spans="1:51" ht="13" x14ac:dyDescent="0.3">
      <c r="A179" s="23" t="s">
        <v>433</v>
      </c>
      <c r="B179" s="20"/>
      <c r="C179" s="20"/>
      <c r="D179" s="20"/>
      <c r="E179" s="20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>
        <v>4</v>
      </c>
      <c r="AC179" s="3">
        <v>4</v>
      </c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</row>
    <row r="180" spans="1:51" ht="13" x14ac:dyDescent="0.3">
      <c r="A180" s="23" t="s">
        <v>378</v>
      </c>
      <c r="B180" s="20"/>
      <c r="C180" s="20"/>
      <c r="D180" s="20"/>
      <c r="E180" s="20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>
        <v>4</v>
      </c>
      <c r="AL180" s="3"/>
      <c r="AM180" s="3">
        <v>4</v>
      </c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</row>
    <row r="181" spans="1:51" ht="13" x14ac:dyDescent="0.3">
      <c r="A181" s="23" t="s">
        <v>285</v>
      </c>
      <c r="B181" s="20"/>
      <c r="C181" s="20"/>
      <c r="D181" s="20"/>
      <c r="E181" s="20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>
        <v>1</v>
      </c>
      <c r="X181" s="3"/>
      <c r="Y181" s="3"/>
      <c r="Z181" s="3"/>
      <c r="AA181" s="3"/>
      <c r="AB181" s="3">
        <v>4</v>
      </c>
      <c r="AC181" s="3">
        <v>4</v>
      </c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</row>
    <row r="182" spans="1:51" ht="13" x14ac:dyDescent="0.3">
      <c r="A182" s="23" t="s">
        <v>102</v>
      </c>
      <c r="B182" s="20">
        <v>1</v>
      </c>
      <c r="C182" s="20"/>
      <c r="D182" s="20"/>
      <c r="E182" s="20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>
        <v>3</v>
      </c>
      <c r="U182" s="3"/>
      <c r="V182" s="3">
        <v>3</v>
      </c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</row>
    <row r="183" spans="1:51" ht="13" x14ac:dyDescent="0.3">
      <c r="A183" s="23" t="s">
        <v>104</v>
      </c>
      <c r="B183" s="20"/>
      <c r="C183" s="20"/>
      <c r="D183" s="20"/>
      <c r="E183" s="20"/>
      <c r="F183" s="3"/>
      <c r="G183" s="3">
        <v>1</v>
      </c>
      <c r="H183" s="3"/>
      <c r="I183" s="3">
        <v>1</v>
      </c>
      <c r="J183" s="3"/>
      <c r="K183" s="3"/>
      <c r="L183" s="3"/>
      <c r="M183" s="3"/>
      <c r="N183" s="3"/>
      <c r="O183" s="3"/>
      <c r="P183" s="3"/>
      <c r="Q183" s="3"/>
      <c r="R183" s="3">
        <v>3</v>
      </c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</row>
    <row r="184" spans="1:51" ht="13" x14ac:dyDescent="0.3">
      <c r="A184" s="23" t="s">
        <v>105</v>
      </c>
      <c r="B184" s="20"/>
      <c r="C184" s="20"/>
      <c r="D184" s="20"/>
      <c r="E184" s="20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>
        <v>2</v>
      </c>
      <c r="AA184" s="3">
        <v>2</v>
      </c>
      <c r="AB184" s="3">
        <v>2</v>
      </c>
      <c r="AC184" s="3">
        <v>3</v>
      </c>
      <c r="AD184" s="3"/>
      <c r="AE184" s="3">
        <v>2</v>
      </c>
      <c r="AF184" s="3">
        <v>2</v>
      </c>
      <c r="AG184" s="3"/>
      <c r="AH184" s="3"/>
      <c r="AI184" s="3">
        <v>2</v>
      </c>
      <c r="AJ184" s="3">
        <v>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</row>
    <row r="185" spans="1:51" ht="13" x14ac:dyDescent="0.3">
      <c r="A185" s="23" t="s">
        <v>286</v>
      </c>
      <c r="B185" s="20"/>
      <c r="C185" s="20"/>
      <c r="D185" s="20"/>
      <c r="E185" s="20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>
        <v>1</v>
      </c>
      <c r="AQ185" s="3"/>
      <c r="AR185" s="3">
        <v>1</v>
      </c>
      <c r="AS185" s="3"/>
      <c r="AT185" s="3"/>
      <c r="AU185" s="3"/>
      <c r="AV185" s="3"/>
      <c r="AW185" s="3"/>
      <c r="AX185" s="3"/>
      <c r="AY185" s="3"/>
    </row>
    <row r="186" spans="1:51" ht="13" x14ac:dyDescent="0.3">
      <c r="A186" s="23" t="s">
        <v>405</v>
      </c>
      <c r="B186" s="20"/>
      <c r="C186" s="20"/>
      <c r="D186" s="20"/>
      <c r="E186" s="20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>
        <v>1</v>
      </c>
      <c r="AS186" s="3"/>
      <c r="AT186" s="3"/>
      <c r="AU186" s="3"/>
      <c r="AV186" s="3"/>
      <c r="AW186" s="3"/>
      <c r="AX186" s="3"/>
      <c r="AY186" s="3"/>
    </row>
    <row r="187" spans="1:51" ht="13" x14ac:dyDescent="0.3">
      <c r="A187" s="23" t="s">
        <v>457</v>
      </c>
      <c r="B187" s="20"/>
      <c r="C187" s="20"/>
      <c r="D187" s="20"/>
      <c r="E187" s="20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>
        <v>4</v>
      </c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</row>
    <row r="188" spans="1:51" ht="13" x14ac:dyDescent="0.3">
      <c r="A188" s="23" t="s">
        <v>107</v>
      </c>
      <c r="B188" s="20">
        <v>1</v>
      </c>
      <c r="C188" s="20"/>
      <c r="D188" s="20"/>
      <c r="E188" s="20"/>
      <c r="F188" s="3">
        <v>3</v>
      </c>
      <c r="G188" s="3"/>
      <c r="H188" s="3">
        <v>1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>
        <v>1</v>
      </c>
      <c r="Y188" s="3">
        <v>1</v>
      </c>
      <c r="Z188" s="3">
        <v>1</v>
      </c>
      <c r="AA188" s="3">
        <v>1</v>
      </c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</row>
    <row r="189" spans="1:51" ht="13" x14ac:dyDescent="0.3">
      <c r="A189" s="23" t="s">
        <v>287</v>
      </c>
      <c r="B189" s="20"/>
      <c r="C189" s="20"/>
      <c r="D189" s="20"/>
      <c r="E189" s="20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>
        <v>1</v>
      </c>
      <c r="AX189" s="3"/>
      <c r="AY189" s="3"/>
    </row>
    <row r="190" spans="1:51" ht="13" x14ac:dyDescent="0.3">
      <c r="A190" s="23" t="s">
        <v>288</v>
      </c>
      <c r="B190" s="20"/>
      <c r="C190" s="20"/>
      <c r="D190" s="20"/>
      <c r="E190" s="20"/>
      <c r="F190" s="3"/>
      <c r="G190" s="3"/>
      <c r="H190" s="3"/>
      <c r="I190" s="3"/>
      <c r="J190" s="3">
        <v>1</v>
      </c>
      <c r="K190" s="3"/>
      <c r="L190" s="3"/>
      <c r="M190" s="3"/>
      <c r="N190" s="3"/>
      <c r="O190" s="3"/>
      <c r="P190" s="3"/>
      <c r="Q190" s="3">
        <v>1</v>
      </c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>
        <v>1</v>
      </c>
      <c r="AH190" s="3"/>
      <c r="AI190" s="3"/>
      <c r="AJ190" s="3"/>
      <c r="AK190" s="3"/>
      <c r="AL190" s="3"/>
      <c r="AM190" s="3">
        <v>1</v>
      </c>
      <c r="AN190" s="3"/>
      <c r="AO190" s="3"/>
      <c r="AP190" s="3"/>
      <c r="AQ190" s="3"/>
      <c r="AR190" s="3"/>
      <c r="AS190" s="3"/>
      <c r="AT190" s="3"/>
      <c r="AU190" s="3"/>
      <c r="AV190" s="3"/>
      <c r="AW190" s="3">
        <v>4</v>
      </c>
      <c r="AX190" s="3"/>
      <c r="AY190" s="3"/>
    </row>
    <row r="191" spans="1:51" ht="13" x14ac:dyDescent="0.3">
      <c r="A191" s="23" t="s">
        <v>108</v>
      </c>
      <c r="B191" s="20"/>
      <c r="C191" s="20"/>
      <c r="D191" s="20"/>
      <c r="E191" s="20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>
        <v>1</v>
      </c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>
        <v>1</v>
      </c>
      <c r="AL191" s="3"/>
      <c r="AM191" s="3">
        <v>3</v>
      </c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</row>
    <row r="192" spans="1:51" ht="13" x14ac:dyDescent="0.3">
      <c r="A192" s="23" t="s">
        <v>415</v>
      </c>
      <c r="B192" s="20"/>
      <c r="C192" s="20"/>
      <c r="D192" s="20"/>
      <c r="E192" s="20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>
        <v>4</v>
      </c>
      <c r="AP192" s="3"/>
      <c r="AQ192" s="3"/>
      <c r="AR192" s="3"/>
      <c r="AS192" s="3"/>
      <c r="AT192" s="3"/>
      <c r="AU192" s="3"/>
      <c r="AV192" s="3"/>
      <c r="AW192" s="3"/>
      <c r="AX192" s="3"/>
      <c r="AY192" s="3"/>
    </row>
    <row r="193" spans="1:204" ht="13" x14ac:dyDescent="0.3">
      <c r="A193" s="23" t="s">
        <v>422</v>
      </c>
      <c r="B193" s="20"/>
      <c r="C193" s="20"/>
      <c r="D193" s="20"/>
      <c r="E193" s="20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>
        <v>4</v>
      </c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</row>
    <row r="194" spans="1:204" ht="13" x14ac:dyDescent="0.3">
      <c r="A194" s="23" t="s">
        <v>109</v>
      </c>
      <c r="B194" s="20">
        <v>3</v>
      </c>
      <c r="C194" s="20"/>
      <c r="D194" s="20"/>
      <c r="E194" s="20"/>
      <c r="F194" s="3">
        <v>3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>
        <v>1</v>
      </c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>
        <v>1</v>
      </c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</row>
    <row r="195" spans="1:204" ht="13" x14ac:dyDescent="0.3">
      <c r="A195" s="23" t="s">
        <v>110</v>
      </c>
      <c r="B195" s="20"/>
      <c r="C195" s="20"/>
      <c r="D195" s="20"/>
      <c r="E195" s="20"/>
      <c r="F195" s="3"/>
      <c r="G195" s="3"/>
      <c r="H195" s="3"/>
      <c r="I195" s="3"/>
      <c r="J195" s="3">
        <v>1</v>
      </c>
      <c r="K195" s="3"/>
      <c r="L195" s="3"/>
      <c r="M195" s="3"/>
      <c r="N195" s="3"/>
      <c r="O195" s="3"/>
      <c r="P195" s="3"/>
      <c r="Q195" s="3">
        <v>2</v>
      </c>
      <c r="R195" s="3"/>
      <c r="S195" s="3"/>
      <c r="T195" s="3"/>
      <c r="U195" s="3"/>
      <c r="V195" s="3"/>
      <c r="W195" s="3"/>
      <c r="X195" s="3">
        <v>1</v>
      </c>
      <c r="Y195" s="3">
        <v>1</v>
      </c>
      <c r="Z195" s="3"/>
      <c r="AA195" s="3"/>
      <c r="AB195" s="3"/>
      <c r="AC195" s="3"/>
      <c r="AD195" s="3"/>
      <c r="AE195" s="3">
        <v>3</v>
      </c>
      <c r="AF195" s="3">
        <v>3</v>
      </c>
      <c r="AG195" s="3">
        <v>3</v>
      </c>
      <c r="AH195" s="3"/>
      <c r="AI195" s="3">
        <v>3</v>
      </c>
      <c r="AJ195" s="3">
        <v>1</v>
      </c>
      <c r="AK195" s="3">
        <v>3</v>
      </c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</row>
    <row r="196" spans="1:204" ht="13" x14ac:dyDescent="0.3">
      <c r="A196" s="22" t="s">
        <v>111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>
        <v>4</v>
      </c>
      <c r="Y196" s="3">
        <v>4</v>
      </c>
      <c r="Z196" s="3"/>
      <c r="AA196" s="3"/>
      <c r="AB196" s="3">
        <v>4</v>
      </c>
      <c r="AC196" s="3">
        <v>4</v>
      </c>
      <c r="AD196" s="3"/>
      <c r="AE196" s="3"/>
      <c r="AF196" s="3"/>
      <c r="AG196" s="3"/>
      <c r="AH196" s="3"/>
      <c r="AI196" s="3"/>
      <c r="AJ196" s="3"/>
      <c r="AK196" s="3">
        <v>1</v>
      </c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</row>
    <row r="197" spans="1:204" ht="13" x14ac:dyDescent="0.3">
      <c r="A197" s="22" t="s">
        <v>112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>
        <v>1</v>
      </c>
      <c r="Y197" s="3">
        <v>1</v>
      </c>
      <c r="Z197" s="3"/>
      <c r="AA197" s="3"/>
      <c r="AB197" s="3">
        <v>1</v>
      </c>
      <c r="AC197" s="3">
        <v>1</v>
      </c>
      <c r="AD197" s="3"/>
      <c r="AE197" s="3"/>
      <c r="AF197" s="3">
        <v>1</v>
      </c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>
        <v>1</v>
      </c>
      <c r="AS197" s="3"/>
      <c r="AT197" s="3"/>
      <c r="AU197" s="3"/>
      <c r="AV197" s="3"/>
      <c r="AW197" s="3"/>
      <c r="AX197" s="3"/>
      <c r="AY197" s="3"/>
    </row>
    <row r="198" spans="1:204" ht="13" x14ac:dyDescent="0.3">
      <c r="A198" s="22" t="s">
        <v>289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>
        <v>1</v>
      </c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>
        <v>1</v>
      </c>
      <c r="AQ198" s="3"/>
      <c r="AR198" s="3">
        <v>1</v>
      </c>
      <c r="AS198" s="3">
        <v>1</v>
      </c>
      <c r="AT198" s="3"/>
      <c r="AU198" s="3"/>
      <c r="AV198" s="3"/>
      <c r="AW198" s="3"/>
      <c r="AX198" s="3"/>
      <c r="AY198" s="3"/>
    </row>
    <row r="199" spans="1:204" ht="13" x14ac:dyDescent="0.3">
      <c r="A199" s="22" t="s">
        <v>447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>
        <v>4</v>
      </c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</row>
    <row r="200" spans="1:204" ht="13" x14ac:dyDescent="0.3">
      <c r="A200" s="22" t="s">
        <v>113</v>
      </c>
      <c r="B200" s="3">
        <v>2</v>
      </c>
      <c r="C200" s="3"/>
      <c r="D200" s="3"/>
      <c r="E200" s="3"/>
      <c r="F200" s="3">
        <v>3</v>
      </c>
      <c r="G200" s="3"/>
      <c r="H200" s="3">
        <v>3</v>
      </c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>
        <v>1</v>
      </c>
      <c r="T200" s="3">
        <v>1</v>
      </c>
      <c r="U200" s="3">
        <v>1</v>
      </c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</row>
    <row r="201" spans="1:204" ht="13" x14ac:dyDescent="0.3">
      <c r="A201" s="22" t="s">
        <v>114</v>
      </c>
      <c r="B201" s="3">
        <v>1</v>
      </c>
      <c r="C201" s="3"/>
      <c r="D201" s="3"/>
      <c r="E201" s="3"/>
      <c r="F201" s="3"/>
      <c r="G201" s="3"/>
      <c r="H201" s="3">
        <v>1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>
        <v>1</v>
      </c>
      <c r="Y201" s="3">
        <v>1</v>
      </c>
      <c r="Z201" s="3"/>
      <c r="AA201" s="3"/>
      <c r="AB201" s="3">
        <v>3</v>
      </c>
      <c r="AC201" s="3">
        <v>3</v>
      </c>
      <c r="AD201" s="3"/>
      <c r="AE201" s="3"/>
      <c r="AF201" s="3">
        <v>1</v>
      </c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</row>
    <row r="202" spans="1:204" ht="13" x14ac:dyDescent="0.3">
      <c r="A202" s="22" t="s">
        <v>404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>
        <v>1</v>
      </c>
      <c r="AJ202" s="3"/>
      <c r="AK202" s="3"/>
      <c r="AL202" s="3"/>
      <c r="AM202" s="3">
        <v>1</v>
      </c>
      <c r="AN202" s="3">
        <v>4</v>
      </c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</row>
    <row r="203" spans="1:204" s="4" customFormat="1" ht="13" x14ac:dyDescent="0.3">
      <c r="A203" s="22" t="s">
        <v>115</v>
      </c>
      <c r="B203" s="3">
        <v>2</v>
      </c>
      <c r="C203" s="3"/>
      <c r="D203" s="3"/>
      <c r="E203" s="3"/>
      <c r="F203" s="3"/>
      <c r="G203" s="3"/>
      <c r="H203" s="3"/>
      <c r="I203" s="3"/>
      <c r="J203" s="3">
        <v>1</v>
      </c>
      <c r="K203" s="3"/>
      <c r="L203" s="3"/>
      <c r="M203" s="3"/>
      <c r="N203" s="3"/>
      <c r="O203" s="3"/>
      <c r="P203" s="3"/>
      <c r="Q203" s="3">
        <v>1</v>
      </c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>
        <v>1</v>
      </c>
      <c r="AH203" s="3"/>
      <c r="AI203" s="3"/>
      <c r="AJ203" s="3"/>
      <c r="AK203" s="3">
        <v>2</v>
      </c>
      <c r="AL203" s="3"/>
      <c r="AM203" s="3">
        <v>2</v>
      </c>
      <c r="AN203" s="3"/>
      <c r="AO203" s="3"/>
      <c r="AP203" s="3">
        <v>1</v>
      </c>
      <c r="AQ203" s="3">
        <v>1</v>
      </c>
      <c r="AR203" s="3">
        <v>1</v>
      </c>
      <c r="AS203" s="3">
        <v>1</v>
      </c>
      <c r="AT203" s="3">
        <v>1</v>
      </c>
      <c r="AU203" s="3"/>
      <c r="AV203" s="3"/>
      <c r="AW203" s="3"/>
      <c r="AX203" s="3"/>
      <c r="AY203" s="3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</row>
    <row r="204" spans="1:204" s="4" customFormat="1" ht="13" x14ac:dyDescent="0.3">
      <c r="A204" s="22" t="s">
        <v>400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>
        <v>1</v>
      </c>
      <c r="AL204" s="3"/>
      <c r="AM204" s="3">
        <v>1</v>
      </c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</row>
    <row r="205" spans="1:204" s="4" customFormat="1" ht="13" x14ac:dyDescent="0.3">
      <c r="A205" s="22" t="s">
        <v>461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>
        <v>4</v>
      </c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</row>
    <row r="206" spans="1:204" s="4" customFormat="1" ht="13" x14ac:dyDescent="0.3">
      <c r="A206" s="22" t="s">
        <v>116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>
        <v>1</v>
      </c>
      <c r="U206" s="3"/>
      <c r="V206" s="3">
        <v>1</v>
      </c>
      <c r="W206" s="3">
        <v>3</v>
      </c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</row>
    <row r="207" spans="1:204" s="4" customFormat="1" ht="13" x14ac:dyDescent="0.3">
      <c r="A207" s="22" t="s">
        <v>290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>
        <v>1</v>
      </c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>
        <v>4</v>
      </c>
      <c r="AL207" s="3"/>
      <c r="AM207" s="3">
        <v>4</v>
      </c>
      <c r="AN207" s="3"/>
      <c r="AO207" s="3"/>
      <c r="AP207" s="3">
        <v>1</v>
      </c>
      <c r="AQ207" s="3"/>
      <c r="AR207" s="3">
        <v>1</v>
      </c>
      <c r="AS207" s="3"/>
      <c r="AT207" s="3"/>
      <c r="AU207" s="3">
        <v>1</v>
      </c>
      <c r="AV207" s="3"/>
      <c r="AW207" s="3"/>
      <c r="AX207" s="3"/>
      <c r="AY207" s="3">
        <v>1</v>
      </c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</row>
    <row r="208" spans="1:204" s="4" customFormat="1" ht="13" x14ac:dyDescent="0.3">
      <c r="A208" s="22" t="s">
        <v>424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>
        <v>4</v>
      </c>
      <c r="AC208" s="3">
        <v>4</v>
      </c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</row>
    <row r="209" spans="1:206" s="4" customFormat="1" ht="13" x14ac:dyDescent="0.3">
      <c r="A209" s="22" t="s">
        <v>291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>
        <v>1</v>
      </c>
      <c r="AS209" s="3">
        <v>1</v>
      </c>
      <c r="AT209" s="3"/>
      <c r="AU209" s="3">
        <v>1</v>
      </c>
      <c r="AV209" s="3">
        <v>1</v>
      </c>
      <c r="AW209" s="3"/>
      <c r="AX209" s="3"/>
      <c r="AY209" s="3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</row>
    <row r="210" spans="1:206" s="4" customFormat="1" ht="13" x14ac:dyDescent="0.3">
      <c r="A210" s="22" t="s">
        <v>117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>
        <v>1</v>
      </c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>
        <v>3</v>
      </c>
      <c r="Z210" s="3">
        <v>4</v>
      </c>
      <c r="AA210" s="3">
        <v>3</v>
      </c>
      <c r="AB210" s="3"/>
      <c r="AC210" s="3"/>
      <c r="AD210" s="3">
        <v>1</v>
      </c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>
        <v>1</v>
      </c>
      <c r="AQ210" s="3"/>
      <c r="AR210" s="3"/>
      <c r="AS210" s="3"/>
      <c r="AT210" s="3">
        <v>1</v>
      </c>
      <c r="AU210" s="3"/>
      <c r="AV210" s="3"/>
      <c r="AW210" s="3"/>
      <c r="AX210" s="3"/>
      <c r="AY210" s="3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</row>
    <row r="211" spans="1:206" s="4" customFormat="1" ht="13" x14ac:dyDescent="0.3">
      <c r="A211" s="22" t="s">
        <v>292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>
        <v>1</v>
      </c>
      <c r="AS211" s="3">
        <v>1</v>
      </c>
      <c r="AT211" s="3"/>
      <c r="AU211" s="3"/>
      <c r="AV211" s="3">
        <v>1</v>
      </c>
      <c r="AW211" s="3">
        <v>1</v>
      </c>
      <c r="AX211" s="3"/>
      <c r="AY211" s="3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</row>
    <row r="212" spans="1:206" s="4" customFormat="1" ht="13" x14ac:dyDescent="0.3">
      <c r="A212" s="22" t="s">
        <v>293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>
        <v>4</v>
      </c>
      <c r="AB212" s="3"/>
      <c r="AC212" s="3"/>
      <c r="AD212" s="3"/>
      <c r="AE212" s="3"/>
      <c r="AF212" s="3"/>
      <c r="AG212" s="3"/>
      <c r="AH212" s="3"/>
      <c r="AI212" s="3"/>
      <c r="AJ212" s="3"/>
      <c r="AK212" s="3">
        <v>4</v>
      </c>
      <c r="AL212" s="3"/>
      <c r="AM212" s="3">
        <v>4</v>
      </c>
      <c r="AN212" s="3"/>
      <c r="AO212" s="3"/>
      <c r="AP212" s="3">
        <v>1</v>
      </c>
      <c r="AQ212" s="3"/>
      <c r="AR212" s="3">
        <v>1</v>
      </c>
      <c r="AS212" s="3">
        <v>1</v>
      </c>
      <c r="AT212" s="3"/>
      <c r="AU212" s="3">
        <v>1</v>
      </c>
      <c r="AV212" s="3"/>
      <c r="AW212" s="3"/>
      <c r="AX212" s="3"/>
      <c r="AY212" s="3">
        <v>1</v>
      </c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</row>
    <row r="213" spans="1:206" s="4" customFormat="1" ht="13" x14ac:dyDescent="0.3">
      <c r="A213" s="22" t="s">
        <v>294</v>
      </c>
      <c r="B213" s="3"/>
      <c r="C213" s="3"/>
      <c r="D213" s="3"/>
      <c r="E213" s="3"/>
      <c r="F213" s="3"/>
      <c r="G213" s="3"/>
      <c r="H213" s="3"/>
      <c r="I213" s="3"/>
      <c r="J213" s="3">
        <v>2</v>
      </c>
      <c r="K213" s="3"/>
      <c r="L213" s="3"/>
      <c r="M213" s="3"/>
      <c r="N213" s="3"/>
      <c r="O213" s="3"/>
      <c r="P213" s="3"/>
      <c r="Q213" s="3">
        <v>2</v>
      </c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>
        <v>2</v>
      </c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</row>
    <row r="214" spans="1:206" s="4" customFormat="1" ht="13" x14ac:dyDescent="0.3">
      <c r="A214" s="22" t="s">
        <v>295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>
        <v>1</v>
      </c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>
        <v>1</v>
      </c>
      <c r="AW214" s="3"/>
      <c r="AX214" s="3"/>
      <c r="AY214" s="3">
        <v>1</v>
      </c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</row>
    <row r="215" spans="1:206" s="4" customFormat="1" ht="13" x14ac:dyDescent="0.3">
      <c r="A215" s="22" t="s">
        <v>296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>
        <v>1</v>
      </c>
      <c r="AW215" s="3"/>
      <c r="AX215" s="3"/>
      <c r="AY215" s="3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</row>
    <row r="216" spans="1:206" s="4" customFormat="1" ht="13" x14ac:dyDescent="0.3">
      <c r="A216" s="22" t="s">
        <v>459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>
        <v>4</v>
      </c>
      <c r="AF216" s="3"/>
      <c r="AG216" s="3"/>
      <c r="AH216" s="3"/>
      <c r="AI216" s="3">
        <v>4</v>
      </c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</row>
    <row r="217" spans="1:206" s="4" customFormat="1" ht="13" x14ac:dyDescent="0.3">
      <c r="A217" s="22" t="s">
        <v>456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>
        <v>4</v>
      </c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</row>
    <row r="218" spans="1:206" s="4" customFormat="1" ht="13" x14ac:dyDescent="0.3">
      <c r="A218" s="22" t="s">
        <v>297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>
        <v>1</v>
      </c>
      <c r="AQ218" s="3"/>
      <c r="AR218" s="3"/>
      <c r="AS218" s="3"/>
      <c r="AT218" s="3">
        <v>1</v>
      </c>
      <c r="AU218" s="3"/>
      <c r="AV218" s="3">
        <v>1</v>
      </c>
      <c r="AW218" s="3">
        <v>1</v>
      </c>
      <c r="AX218" s="3"/>
      <c r="AY218" s="3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</row>
    <row r="219" spans="1:206" s="4" customFormat="1" ht="13" x14ac:dyDescent="0.3">
      <c r="A219" s="22" t="s">
        <v>298</v>
      </c>
      <c r="B219" s="3"/>
      <c r="C219" s="3"/>
      <c r="D219" s="3"/>
      <c r="E219" s="3"/>
      <c r="F219" s="3"/>
      <c r="G219" s="3"/>
      <c r="H219" s="3"/>
      <c r="I219" s="3"/>
      <c r="J219" s="25">
        <v>3</v>
      </c>
      <c r="K219" s="3">
        <v>1</v>
      </c>
      <c r="L219" s="3"/>
      <c r="M219" s="3">
        <v>1</v>
      </c>
      <c r="N219" s="3"/>
      <c r="O219" s="3">
        <v>1</v>
      </c>
      <c r="P219" s="3">
        <v>1</v>
      </c>
      <c r="Q219" s="3">
        <v>3</v>
      </c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>
        <v>3</v>
      </c>
      <c r="AH219" s="3"/>
      <c r="AI219" s="3"/>
      <c r="AJ219" s="3"/>
      <c r="AK219" s="3">
        <v>3</v>
      </c>
      <c r="AL219" s="3"/>
      <c r="AM219" s="3">
        <v>1</v>
      </c>
      <c r="AN219" s="3"/>
      <c r="AO219" s="3"/>
      <c r="AP219" s="3"/>
      <c r="AQ219" s="3"/>
      <c r="AR219" s="3">
        <v>4</v>
      </c>
      <c r="AS219" s="3"/>
      <c r="AT219" s="3"/>
      <c r="AU219" s="3"/>
      <c r="AV219" s="3"/>
      <c r="AW219" s="3"/>
      <c r="AX219" s="3"/>
      <c r="AY219" s="3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</row>
    <row r="220" spans="1:206" ht="13" x14ac:dyDescent="0.3">
      <c r="A220" s="22" t="s">
        <v>299</v>
      </c>
      <c r="B220" s="3"/>
      <c r="C220" s="3"/>
      <c r="D220" s="3"/>
      <c r="E220" s="3"/>
      <c r="F220" s="3"/>
      <c r="G220" s="3">
        <v>1</v>
      </c>
      <c r="H220" s="3"/>
      <c r="I220" s="3">
        <v>1</v>
      </c>
      <c r="J220" s="3"/>
      <c r="K220" s="3"/>
      <c r="L220" s="3"/>
      <c r="M220" s="3"/>
      <c r="N220" s="3"/>
      <c r="O220" s="3"/>
      <c r="P220" s="3"/>
      <c r="Q220" s="3"/>
      <c r="R220" s="3">
        <v>3</v>
      </c>
      <c r="S220" s="3"/>
      <c r="T220" s="3"/>
      <c r="U220" s="3"/>
      <c r="V220" s="3">
        <v>1</v>
      </c>
      <c r="W220" s="3"/>
      <c r="X220" s="3">
        <v>1</v>
      </c>
      <c r="Y220" s="3"/>
      <c r="Z220" s="3">
        <v>1</v>
      </c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</row>
    <row r="221" spans="1:206" ht="13" x14ac:dyDescent="0.3">
      <c r="A221" s="22" t="s">
        <v>300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>
        <v>1</v>
      </c>
      <c r="AQ221" s="3"/>
      <c r="AR221" s="3"/>
      <c r="AS221" s="3"/>
      <c r="AT221" s="3"/>
      <c r="AU221" s="3"/>
      <c r="AV221" s="3"/>
      <c r="AW221" s="3"/>
      <c r="AX221" s="3"/>
      <c r="AY221" s="3"/>
    </row>
    <row r="222" spans="1:206" ht="13" x14ac:dyDescent="0.3">
      <c r="A222" s="23" t="s">
        <v>120</v>
      </c>
      <c r="B222" s="20">
        <v>3</v>
      </c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>
        <v>1</v>
      </c>
      <c r="Y222" s="20">
        <v>1</v>
      </c>
      <c r="Z222" s="20"/>
      <c r="AA222" s="20"/>
      <c r="AB222" s="20">
        <v>2</v>
      </c>
      <c r="AC222" s="20">
        <v>2</v>
      </c>
      <c r="AD222" s="20"/>
      <c r="AE222" s="20"/>
      <c r="AF222" s="20">
        <v>1</v>
      </c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</row>
    <row r="223" spans="1:206" ht="13" x14ac:dyDescent="0.3">
      <c r="A223" s="22" t="s">
        <v>301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>
        <v>1</v>
      </c>
      <c r="AQ223" s="3"/>
      <c r="AR223" s="3"/>
      <c r="AS223" s="3"/>
      <c r="AT223" s="3">
        <v>1</v>
      </c>
      <c r="AU223" s="3"/>
      <c r="AV223" s="3"/>
      <c r="AW223" s="3">
        <v>1</v>
      </c>
      <c r="AX223" s="3"/>
      <c r="AY223" s="3"/>
    </row>
    <row r="224" spans="1:206" ht="13" x14ac:dyDescent="0.3">
      <c r="A224" s="22" t="s">
        <v>302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>
        <v>1</v>
      </c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>
        <v>1</v>
      </c>
      <c r="AS224" s="3"/>
      <c r="AT224" s="3"/>
      <c r="AU224" s="3"/>
      <c r="AV224" s="3"/>
      <c r="AW224" s="3"/>
      <c r="AX224" s="3">
        <v>4</v>
      </c>
      <c r="AY224" s="3"/>
    </row>
    <row r="225" spans="1:51" ht="13" x14ac:dyDescent="0.3">
      <c r="A225" s="22" t="s">
        <v>411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>
        <v>1</v>
      </c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>
        <v>1</v>
      </c>
      <c r="AS225" s="3"/>
      <c r="AT225" s="3"/>
      <c r="AU225" s="3"/>
      <c r="AV225" s="3"/>
      <c r="AW225" s="3"/>
      <c r="AX225" s="3"/>
      <c r="AY225" s="3"/>
    </row>
    <row r="226" spans="1:51" ht="13" x14ac:dyDescent="0.3">
      <c r="A226" s="22" t="s">
        <v>303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>
        <v>1</v>
      </c>
      <c r="AQ226" s="3"/>
      <c r="AR226" s="3"/>
      <c r="AS226" s="3">
        <v>1</v>
      </c>
      <c r="AT226" s="3">
        <v>1</v>
      </c>
      <c r="AU226" s="3">
        <v>1</v>
      </c>
      <c r="AV226" s="3"/>
      <c r="AW226" s="3"/>
      <c r="AX226" s="3"/>
      <c r="AY226" s="3"/>
    </row>
    <row r="227" spans="1:51" ht="13" x14ac:dyDescent="0.3">
      <c r="A227" s="22" t="s">
        <v>304</v>
      </c>
      <c r="B227" s="3"/>
      <c r="C227" s="3"/>
      <c r="D227" s="3"/>
      <c r="E227" s="3"/>
      <c r="F227" s="3"/>
      <c r="G227" s="3"/>
      <c r="H227" s="3"/>
      <c r="I227" s="3"/>
      <c r="J227" s="3">
        <v>1</v>
      </c>
      <c r="K227" s="3"/>
      <c r="L227" s="3"/>
      <c r="M227" s="3"/>
      <c r="N227" s="3"/>
      <c r="O227" s="3"/>
      <c r="P227" s="3"/>
      <c r="Q227" s="3">
        <v>1</v>
      </c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>
        <v>1</v>
      </c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</row>
    <row r="228" spans="1:51" ht="13" x14ac:dyDescent="0.3">
      <c r="A228" s="22" t="s">
        <v>305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>
        <v>1</v>
      </c>
      <c r="AX228" s="3"/>
      <c r="AY228" s="3"/>
    </row>
    <row r="229" spans="1:51" ht="13" x14ac:dyDescent="0.3">
      <c r="A229" s="22" t="s">
        <v>123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>
        <v>2</v>
      </c>
      <c r="AF229" s="3">
        <v>2</v>
      </c>
      <c r="AG229" s="3">
        <v>2</v>
      </c>
      <c r="AH229" s="3"/>
      <c r="AI229" s="3"/>
      <c r="AJ229" s="3">
        <v>4</v>
      </c>
      <c r="AK229" s="3">
        <v>1</v>
      </c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</row>
    <row r="230" spans="1:51" ht="13" x14ac:dyDescent="0.3">
      <c r="A230" s="22" t="s">
        <v>124</v>
      </c>
      <c r="B230" s="3">
        <v>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>
        <v>3</v>
      </c>
      <c r="Y230" s="3"/>
      <c r="Z230" s="3">
        <v>3</v>
      </c>
      <c r="AA230" s="3">
        <v>1</v>
      </c>
      <c r="AB230" s="3">
        <v>1</v>
      </c>
      <c r="AC230" s="3">
        <v>1</v>
      </c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3</v>
      </c>
      <c r="AX230" s="3"/>
      <c r="AY230" s="3"/>
    </row>
    <row r="231" spans="1:51" ht="13" x14ac:dyDescent="0.3">
      <c r="A231" s="22" t="s">
        <v>408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>
        <v>4</v>
      </c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>
        <v>1</v>
      </c>
      <c r="AQ231" s="3"/>
      <c r="AR231" s="3"/>
      <c r="AS231" s="3"/>
      <c r="AT231" s="3"/>
      <c r="AU231" s="3"/>
      <c r="AV231" s="3"/>
      <c r="AW231" s="3"/>
      <c r="AX231" s="3"/>
      <c r="AY231" s="3"/>
    </row>
    <row r="232" spans="1:51" ht="13" x14ac:dyDescent="0.3">
      <c r="A232" s="22" t="s">
        <v>306</v>
      </c>
      <c r="B232" s="3">
        <v>3</v>
      </c>
      <c r="C232" s="3"/>
      <c r="D232" s="3"/>
      <c r="E232" s="3"/>
      <c r="F232" s="3">
        <v>3</v>
      </c>
      <c r="G232" s="3"/>
      <c r="H232" s="3">
        <v>3</v>
      </c>
      <c r="I232" s="3"/>
      <c r="J232" s="3"/>
      <c r="K232" s="3"/>
      <c r="L232" s="3">
        <v>3</v>
      </c>
      <c r="M232" s="3"/>
      <c r="N232" s="3"/>
      <c r="O232" s="3"/>
      <c r="P232" s="3"/>
      <c r="Q232" s="3"/>
      <c r="R232" s="3"/>
      <c r="S232" s="3">
        <v>3</v>
      </c>
      <c r="T232" s="3">
        <v>3</v>
      </c>
      <c r="U232" s="3"/>
      <c r="V232" s="3"/>
      <c r="W232" s="3"/>
      <c r="X232" s="3">
        <v>3</v>
      </c>
      <c r="Y232" s="3">
        <v>3</v>
      </c>
      <c r="Z232" s="3">
        <v>3</v>
      </c>
      <c r="AA232" s="3">
        <v>3</v>
      </c>
      <c r="AB232" s="3">
        <v>3</v>
      </c>
      <c r="AC232" s="3">
        <v>3</v>
      </c>
      <c r="AD232" s="3">
        <v>3</v>
      </c>
      <c r="AE232" s="3">
        <v>3</v>
      </c>
      <c r="AF232" s="3">
        <v>3</v>
      </c>
      <c r="AG232" s="3"/>
      <c r="AH232" s="3"/>
      <c r="AI232" s="3">
        <v>3</v>
      </c>
      <c r="AJ232" s="3">
        <v>3</v>
      </c>
      <c r="AK232" s="3"/>
      <c r="AL232" s="3"/>
      <c r="AM232" s="3">
        <v>3</v>
      </c>
      <c r="AN232" s="3"/>
      <c r="AO232" s="3"/>
      <c r="AP232" s="3">
        <v>3</v>
      </c>
      <c r="AQ232" s="3">
        <v>3</v>
      </c>
      <c r="AR232" s="3">
        <v>3</v>
      </c>
      <c r="AS232" s="3">
        <v>3</v>
      </c>
      <c r="AT232" s="3">
        <v>3</v>
      </c>
      <c r="AU232" s="3">
        <v>3</v>
      </c>
      <c r="AV232" s="3">
        <v>3</v>
      </c>
      <c r="AW232" s="3">
        <v>3</v>
      </c>
      <c r="AX232" s="3"/>
      <c r="AY232" s="3">
        <v>3</v>
      </c>
    </row>
    <row r="233" spans="1:51" ht="13" x14ac:dyDescent="0.3">
      <c r="A233" s="22" t="s">
        <v>125</v>
      </c>
      <c r="B233" s="3">
        <v>2</v>
      </c>
      <c r="C233" s="3"/>
      <c r="D233" s="3"/>
      <c r="E233" s="3"/>
      <c r="F233" s="3"/>
      <c r="G233" s="3"/>
      <c r="H233" s="3"/>
      <c r="I233" s="3"/>
      <c r="J233" s="3">
        <v>1</v>
      </c>
      <c r="K233" s="3"/>
      <c r="L233" s="3"/>
      <c r="M233" s="3"/>
      <c r="N233" s="3"/>
      <c r="O233" s="3"/>
      <c r="P233" s="3"/>
      <c r="Q233" s="3">
        <v>1</v>
      </c>
      <c r="R233" s="3"/>
      <c r="S233" s="3"/>
      <c r="T233" s="3"/>
      <c r="U233" s="3"/>
      <c r="V233" s="3"/>
      <c r="W233" s="3">
        <v>1</v>
      </c>
      <c r="X233" s="3"/>
      <c r="Y233" s="3"/>
      <c r="Z233" s="3"/>
      <c r="AA233" s="3"/>
      <c r="AB233" s="3"/>
      <c r="AC233" s="3"/>
      <c r="AD233" s="3"/>
      <c r="AE233" s="3"/>
      <c r="AF233" s="3"/>
      <c r="AG233" s="3">
        <v>1</v>
      </c>
      <c r="AH233" s="3"/>
      <c r="AI233" s="3"/>
      <c r="AJ233" s="3"/>
      <c r="AK233" s="3"/>
      <c r="AL233" s="3"/>
      <c r="AM233" s="3"/>
      <c r="AN233" s="3"/>
      <c r="AO233" s="3"/>
      <c r="AP233" s="3">
        <v>1</v>
      </c>
      <c r="AQ233" s="3"/>
      <c r="AR233" s="3"/>
      <c r="AS233" s="3"/>
      <c r="AT233" s="3">
        <v>1</v>
      </c>
      <c r="AU233" s="3"/>
      <c r="AV233" s="3"/>
      <c r="AW233" s="3"/>
      <c r="AX233" s="3"/>
      <c r="AY233" s="3"/>
    </row>
    <row r="234" spans="1:51" ht="13" x14ac:dyDescent="0.3">
      <c r="A234" s="22" t="s">
        <v>307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>
        <v>1</v>
      </c>
      <c r="AQ234" s="3"/>
      <c r="AR234" s="3">
        <v>1</v>
      </c>
      <c r="AS234" s="3">
        <v>1</v>
      </c>
      <c r="AT234" s="3"/>
      <c r="AU234" s="3"/>
      <c r="AV234" s="3"/>
      <c r="AW234" s="3"/>
      <c r="AX234" s="3"/>
      <c r="AY234" s="3"/>
    </row>
    <row r="235" spans="1:51" ht="13" x14ac:dyDescent="0.3">
      <c r="A235" s="22" t="s">
        <v>434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>
        <v>4</v>
      </c>
      <c r="AC235" s="3">
        <v>4</v>
      </c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</row>
    <row r="236" spans="1:51" ht="13" x14ac:dyDescent="0.3">
      <c r="A236" s="22" t="s">
        <v>379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>
        <v>1</v>
      </c>
      <c r="AS236" s="3"/>
      <c r="AT236" s="3"/>
      <c r="AU236" s="3"/>
      <c r="AV236" s="3"/>
      <c r="AW236" s="3"/>
      <c r="AX236" s="3"/>
      <c r="AY236" s="3"/>
    </row>
    <row r="237" spans="1:51" ht="13" x14ac:dyDescent="0.3">
      <c r="A237" s="22" t="s">
        <v>308</v>
      </c>
      <c r="B237" s="3">
        <v>3</v>
      </c>
      <c r="C237" s="3">
        <v>3</v>
      </c>
      <c r="D237" s="3">
        <v>3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>
        <v>1</v>
      </c>
      <c r="AQ237" s="3"/>
      <c r="AR237" s="3"/>
      <c r="AS237" s="3">
        <v>1</v>
      </c>
      <c r="AT237" s="3">
        <v>1</v>
      </c>
      <c r="AU237" s="3"/>
      <c r="AV237" s="3"/>
      <c r="AW237" s="3"/>
      <c r="AX237" s="3"/>
      <c r="AY237" s="3"/>
    </row>
    <row r="238" spans="1:51" ht="13" x14ac:dyDescent="0.3">
      <c r="A238" s="22" t="s">
        <v>309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>
        <v>1</v>
      </c>
      <c r="AU238" s="3"/>
      <c r="AV238" s="3">
        <v>1</v>
      </c>
      <c r="AW238" s="3"/>
      <c r="AX238" s="3"/>
      <c r="AY238" s="3"/>
    </row>
    <row r="239" spans="1:51" ht="13" x14ac:dyDescent="0.3">
      <c r="A239" s="22" t="s">
        <v>310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>
        <v>1</v>
      </c>
      <c r="AW239" s="3">
        <v>4</v>
      </c>
      <c r="AX239" s="3"/>
      <c r="AY239" s="3"/>
    </row>
    <row r="240" spans="1:51" ht="13" x14ac:dyDescent="0.3">
      <c r="A240" s="22" t="s">
        <v>311</v>
      </c>
      <c r="B240" s="3"/>
      <c r="C240" s="3"/>
      <c r="D240" s="3"/>
      <c r="E240" s="3"/>
      <c r="F240" s="3"/>
      <c r="G240" s="3"/>
      <c r="H240" s="3"/>
      <c r="I240" s="3"/>
      <c r="J240" s="3">
        <v>1</v>
      </c>
      <c r="K240" s="3"/>
      <c r="L240" s="3"/>
      <c r="M240" s="3"/>
      <c r="N240" s="3"/>
      <c r="O240" s="3"/>
      <c r="P240" s="3"/>
      <c r="Q240" s="3">
        <v>1</v>
      </c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>
        <v>1</v>
      </c>
      <c r="AH240" s="3"/>
      <c r="AI240" s="3"/>
      <c r="AJ240" s="3"/>
      <c r="AK240" s="3"/>
      <c r="AL240" s="3"/>
      <c r="AM240" s="3">
        <v>4</v>
      </c>
      <c r="AN240" s="3"/>
      <c r="AO240" s="3"/>
      <c r="AP240" s="3">
        <v>4</v>
      </c>
      <c r="AQ240" s="3"/>
      <c r="AR240" s="3">
        <v>1</v>
      </c>
      <c r="AS240" s="3">
        <v>1</v>
      </c>
      <c r="AT240" s="3">
        <v>1</v>
      </c>
      <c r="AU240" s="3">
        <v>1</v>
      </c>
      <c r="AV240" s="3">
        <v>1</v>
      </c>
      <c r="AW240" s="3"/>
      <c r="AX240" s="3"/>
      <c r="AY240" s="3"/>
    </row>
    <row r="241" spans="1:51" ht="13" x14ac:dyDescent="0.3">
      <c r="A241" s="22" t="s">
        <v>448</v>
      </c>
      <c r="B241" s="3"/>
      <c r="C241" s="3"/>
      <c r="D241" s="3"/>
      <c r="E241" s="3"/>
      <c r="F241" s="3">
        <v>4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</row>
    <row r="242" spans="1:51" ht="13" x14ac:dyDescent="0.3">
      <c r="A242" s="22" t="s">
        <v>312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>
        <v>1</v>
      </c>
      <c r="Y242" s="3">
        <v>1</v>
      </c>
      <c r="Z242" s="3"/>
      <c r="AA242" s="3"/>
      <c r="AB242" s="3">
        <v>1</v>
      </c>
      <c r="AC242" s="3">
        <v>1</v>
      </c>
      <c r="AD242" s="3"/>
      <c r="AE242" s="3"/>
      <c r="AF242" s="3">
        <v>1</v>
      </c>
      <c r="AG242" s="3"/>
      <c r="AH242" s="3"/>
      <c r="AI242" s="3"/>
      <c r="AJ242" s="3"/>
      <c r="AK242" s="3"/>
      <c r="AL242" s="3"/>
      <c r="AM242" s="3"/>
      <c r="AN242" s="3"/>
      <c r="AO242" s="3"/>
      <c r="AP242" s="3">
        <v>4</v>
      </c>
      <c r="AQ242" s="3"/>
      <c r="AR242" s="3">
        <v>4</v>
      </c>
      <c r="AS242" s="3"/>
      <c r="AT242" s="3"/>
      <c r="AU242" s="3"/>
      <c r="AV242" s="3"/>
      <c r="AW242" s="3"/>
      <c r="AX242" s="3"/>
      <c r="AY242" s="3"/>
    </row>
    <row r="243" spans="1:51" ht="13" x14ac:dyDescent="0.3">
      <c r="A243" s="22" t="s">
        <v>127</v>
      </c>
      <c r="B243" s="3">
        <v>2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>
        <v>1</v>
      </c>
      <c r="P243" s="3"/>
      <c r="Q243" s="3"/>
      <c r="R243" s="3"/>
      <c r="S243" s="3"/>
      <c r="T243" s="3"/>
      <c r="U243" s="3"/>
      <c r="V243" s="3"/>
      <c r="W243" s="3"/>
      <c r="X243" s="3"/>
      <c r="Y243" s="3">
        <v>3</v>
      </c>
      <c r="Z243" s="3">
        <v>1</v>
      </c>
      <c r="AA243" s="24">
        <v>3</v>
      </c>
      <c r="AB243" s="3">
        <v>2</v>
      </c>
      <c r="AC243" s="3">
        <v>1</v>
      </c>
      <c r="AD243" s="3"/>
      <c r="AE243" s="3"/>
      <c r="AF243" s="3"/>
      <c r="AG243" s="3"/>
      <c r="AH243" s="3"/>
      <c r="AI243" s="3"/>
      <c r="AJ243" s="3"/>
      <c r="AK243" s="3">
        <v>1</v>
      </c>
      <c r="AL243" s="3"/>
      <c r="AM243" s="3">
        <v>1</v>
      </c>
      <c r="AN243" s="3"/>
      <c r="AO243" s="3"/>
      <c r="AP243" s="3"/>
      <c r="AQ243" s="3">
        <v>1</v>
      </c>
      <c r="AR243" s="3">
        <v>1</v>
      </c>
      <c r="AS243" s="3">
        <v>1</v>
      </c>
      <c r="AT243" s="3">
        <v>1</v>
      </c>
      <c r="AU243" s="3"/>
      <c r="AV243" s="3"/>
      <c r="AW243" s="3"/>
      <c r="AX243" s="3"/>
      <c r="AY243" s="3"/>
    </row>
    <row r="244" spans="1:51" ht="13" x14ac:dyDescent="0.3">
      <c r="A244" s="22" t="s">
        <v>313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>
        <v>1</v>
      </c>
      <c r="AS244" s="3"/>
      <c r="AT244" s="3"/>
      <c r="AU244" s="3"/>
      <c r="AV244" s="3"/>
      <c r="AW244" s="3"/>
      <c r="AX244" s="3"/>
      <c r="AY244" s="3"/>
    </row>
    <row r="245" spans="1:51" ht="13" x14ac:dyDescent="0.3">
      <c r="A245" s="22" t="s">
        <v>314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>
        <v>1</v>
      </c>
      <c r="AX245" s="3"/>
      <c r="AY245" s="3"/>
    </row>
    <row r="246" spans="1:51" ht="13" x14ac:dyDescent="0.3">
      <c r="A246" s="22" t="s">
        <v>129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>
        <v>1</v>
      </c>
      <c r="X246" s="3"/>
      <c r="Y246" s="3">
        <v>3</v>
      </c>
      <c r="Z246" s="3">
        <v>2</v>
      </c>
      <c r="AA246" s="3">
        <v>3</v>
      </c>
      <c r="AB246" s="3">
        <v>2</v>
      </c>
      <c r="AC246" s="3">
        <v>2</v>
      </c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>
        <v>1</v>
      </c>
      <c r="AS246" s="3"/>
      <c r="AT246" s="3"/>
      <c r="AU246" s="3"/>
      <c r="AV246" s="3"/>
      <c r="AW246" s="3">
        <v>1</v>
      </c>
      <c r="AX246" s="3"/>
      <c r="AY246" s="3"/>
    </row>
    <row r="247" spans="1:51" ht="13" x14ac:dyDescent="0.3">
      <c r="A247" s="22" t="s">
        <v>315</v>
      </c>
      <c r="B247" s="3"/>
      <c r="C247" s="3"/>
      <c r="D247" s="3">
        <v>1</v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>
        <v>1</v>
      </c>
      <c r="AS247" s="3"/>
      <c r="AT247" s="3"/>
      <c r="AU247" s="3"/>
      <c r="AV247" s="3"/>
      <c r="AW247" s="3"/>
      <c r="AX247" s="3"/>
      <c r="AY247" s="3"/>
    </row>
    <row r="248" spans="1:51" ht="13" x14ac:dyDescent="0.3">
      <c r="A248" s="22" t="s">
        <v>316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>
        <v>1</v>
      </c>
      <c r="AL248" s="3"/>
      <c r="AM248" s="3"/>
      <c r="AN248" s="3"/>
      <c r="AO248" s="3"/>
      <c r="AP248" s="3">
        <v>1</v>
      </c>
      <c r="AQ248" s="3">
        <v>1</v>
      </c>
      <c r="AR248" s="3"/>
      <c r="AS248" s="3"/>
      <c r="AT248" s="3">
        <v>1</v>
      </c>
      <c r="AU248" s="3"/>
      <c r="AV248" s="3"/>
      <c r="AW248" s="3"/>
      <c r="AX248" s="3"/>
      <c r="AY248" s="3"/>
    </row>
    <row r="249" spans="1:51" ht="13" x14ac:dyDescent="0.3">
      <c r="A249" s="22" t="s">
        <v>130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>
        <v>1</v>
      </c>
      <c r="P249" s="3"/>
      <c r="Q249" s="3"/>
      <c r="R249" s="3"/>
      <c r="S249" s="3"/>
      <c r="T249" s="3"/>
      <c r="U249" s="3"/>
      <c r="V249" s="3"/>
      <c r="W249" s="3"/>
      <c r="X249" s="3">
        <v>1</v>
      </c>
      <c r="Y249" s="3">
        <v>1</v>
      </c>
      <c r="Z249" s="3"/>
      <c r="AA249" s="3"/>
      <c r="AB249" s="3">
        <v>1</v>
      </c>
      <c r="AC249" s="3">
        <v>1</v>
      </c>
      <c r="AD249" s="3"/>
      <c r="AE249" s="3">
        <v>2</v>
      </c>
      <c r="AF249" s="3">
        <v>1</v>
      </c>
      <c r="AG249" s="3"/>
      <c r="AH249" s="3"/>
      <c r="AI249" s="3">
        <v>2</v>
      </c>
      <c r="AJ249" s="3">
        <v>1</v>
      </c>
      <c r="AK249" s="3">
        <v>2</v>
      </c>
      <c r="AL249" s="3"/>
      <c r="AM249" s="3">
        <v>1</v>
      </c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</row>
    <row r="250" spans="1:51" ht="13" x14ac:dyDescent="0.3">
      <c r="A250" s="23" t="s">
        <v>317</v>
      </c>
      <c r="B250" s="20"/>
      <c r="C250" s="20"/>
      <c r="D250" s="20"/>
      <c r="E250" s="20"/>
      <c r="F250" s="20"/>
      <c r="G250" s="20"/>
      <c r="H250" s="20"/>
      <c r="I250" s="20"/>
      <c r="J250" s="20">
        <v>1</v>
      </c>
      <c r="K250" s="20"/>
      <c r="L250" s="20"/>
      <c r="M250" s="20"/>
      <c r="N250" s="20"/>
      <c r="O250" s="20"/>
      <c r="P250" s="20"/>
      <c r="Q250" s="20">
        <v>1</v>
      </c>
      <c r="R250" s="20"/>
      <c r="S250" s="20">
        <v>1</v>
      </c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>
        <v>1</v>
      </c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</row>
    <row r="251" spans="1:51" ht="13" x14ac:dyDescent="0.3">
      <c r="A251" s="22" t="s">
        <v>403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>
        <v>1</v>
      </c>
      <c r="AL251" s="3"/>
      <c r="AM251" s="3">
        <v>1</v>
      </c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</row>
    <row r="252" spans="1:51" ht="13" x14ac:dyDescent="0.3">
      <c r="A252" s="22" t="s">
        <v>394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>
        <v>1</v>
      </c>
      <c r="AS252" s="3"/>
      <c r="AT252" s="3"/>
      <c r="AU252" s="3"/>
      <c r="AV252" s="3"/>
      <c r="AW252" s="3"/>
      <c r="AX252" s="3"/>
      <c r="AY252" s="3"/>
    </row>
    <row r="253" spans="1:51" ht="13" x14ac:dyDescent="0.3">
      <c r="A253" s="22" t="s">
        <v>318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>
        <v>1</v>
      </c>
      <c r="AQ253" s="3"/>
      <c r="AR253" s="3"/>
      <c r="AS253" s="3">
        <v>1</v>
      </c>
      <c r="AT253" s="3"/>
      <c r="AU253" s="3">
        <v>1</v>
      </c>
      <c r="AV253" s="3">
        <v>1</v>
      </c>
      <c r="AW253" s="3">
        <v>1</v>
      </c>
      <c r="AX253" s="3"/>
      <c r="AY253" s="3"/>
    </row>
    <row r="254" spans="1:51" ht="13" x14ac:dyDescent="0.3">
      <c r="A254" s="22" t="s">
        <v>319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>
        <v>1</v>
      </c>
      <c r="AL254" s="3"/>
      <c r="AM254" s="3">
        <v>1</v>
      </c>
      <c r="AN254" s="3"/>
      <c r="AO254" s="3"/>
      <c r="AP254" s="3"/>
      <c r="AQ254" s="3"/>
      <c r="AR254" s="3">
        <v>1</v>
      </c>
      <c r="AS254" s="3">
        <v>1</v>
      </c>
      <c r="AT254" s="3"/>
      <c r="AU254" s="3"/>
      <c r="AV254" s="3">
        <v>1</v>
      </c>
      <c r="AW254" s="3"/>
      <c r="AX254" s="3"/>
      <c r="AY254" s="3"/>
    </row>
    <row r="255" spans="1:51" ht="13" x14ac:dyDescent="0.3">
      <c r="A255" s="22" t="s">
        <v>421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>
        <v>1</v>
      </c>
      <c r="AF255" s="3"/>
      <c r="AG255" s="3"/>
      <c r="AH255" s="3"/>
      <c r="AI255" s="3">
        <v>1</v>
      </c>
      <c r="AJ255" s="3"/>
      <c r="AK255" s="3"/>
      <c r="AL255" s="3"/>
      <c r="AM255" s="3">
        <v>1</v>
      </c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</row>
    <row r="256" spans="1:51" ht="13" x14ac:dyDescent="0.3">
      <c r="A256" s="22" t="s">
        <v>320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1</v>
      </c>
      <c r="AK256" s="3"/>
      <c r="AL256" s="3"/>
      <c r="AM256" s="3">
        <v>3</v>
      </c>
      <c r="AN256" s="3"/>
      <c r="AO256" s="3"/>
      <c r="AP256" s="3"/>
      <c r="AQ256" s="3"/>
      <c r="AR256" s="3">
        <v>1</v>
      </c>
      <c r="AS256" s="3"/>
      <c r="AT256" s="3"/>
      <c r="AU256" s="3"/>
      <c r="AV256" s="3"/>
      <c r="AW256" s="3"/>
      <c r="AX256" s="3"/>
      <c r="AY256" s="3"/>
    </row>
    <row r="257" spans="1:51" ht="13" x14ac:dyDescent="0.3">
      <c r="A257" s="22" t="s">
        <v>321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>
        <v>1</v>
      </c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>
        <v>3</v>
      </c>
      <c r="AQ257" s="3">
        <v>3</v>
      </c>
      <c r="AR257" s="3">
        <v>3</v>
      </c>
      <c r="AS257" s="3">
        <v>3</v>
      </c>
      <c r="AT257" s="3">
        <v>3</v>
      </c>
      <c r="AU257" s="3">
        <v>3</v>
      </c>
      <c r="AV257" s="3">
        <v>3</v>
      </c>
      <c r="AW257" s="3"/>
      <c r="AX257" s="3"/>
      <c r="AY257" s="3">
        <v>3</v>
      </c>
    </row>
    <row r="258" spans="1:51" ht="13" x14ac:dyDescent="0.3">
      <c r="A258" s="22" t="s">
        <v>391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>
        <v>1</v>
      </c>
      <c r="AQ258" s="3"/>
      <c r="AR258" s="3"/>
      <c r="AS258" s="3"/>
      <c r="AT258" s="3"/>
      <c r="AU258" s="3"/>
      <c r="AV258" s="3"/>
      <c r="AW258" s="3"/>
      <c r="AX258" s="3"/>
      <c r="AY258" s="3"/>
    </row>
    <row r="259" spans="1:51" ht="13" x14ac:dyDescent="0.3">
      <c r="A259" s="22" t="s">
        <v>133</v>
      </c>
      <c r="B259" s="3"/>
      <c r="C259" s="3"/>
      <c r="D259" s="3"/>
      <c r="E259" s="3"/>
      <c r="F259" s="3"/>
      <c r="G259" s="3"/>
      <c r="H259" s="3">
        <v>1</v>
      </c>
      <c r="I259" s="3"/>
      <c r="J259" s="3">
        <v>1</v>
      </c>
      <c r="K259" s="3"/>
      <c r="L259" s="3"/>
      <c r="M259" s="3"/>
      <c r="N259" s="3"/>
      <c r="O259" s="3"/>
      <c r="P259" s="3"/>
      <c r="Q259" s="3">
        <v>1</v>
      </c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>
        <v>1</v>
      </c>
      <c r="AH259" s="3"/>
      <c r="AI259" s="3"/>
      <c r="AJ259" s="3"/>
      <c r="AK259" s="3">
        <v>1</v>
      </c>
      <c r="AL259" s="3"/>
      <c r="AM259" s="3">
        <v>3</v>
      </c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</row>
    <row r="260" spans="1:51" ht="13" x14ac:dyDescent="0.3">
      <c r="A260" s="22" t="s">
        <v>134</v>
      </c>
      <c r="B260" s="3">
        <v>1</v>
      </c>
      <c r="C260" s="3"/>
      <c r="D260" s="3"/>
      <c r="E260" s="3"/>
      <c r="F260" s="3">
        <v>3</v>
      </c>
      <c r="G260" s="3"/>
      <c r="H260" s="3">
        <v>3</v>
      </c>
      <c r="I260" s="3"/>
      <c r="J260" s="3"/>
      <c r="K260" s="3"/>
      <c r="L260" s="3"/>
      <c r="M260" s="3"/>
      <c r="N260" s="3"/>
      <c r="O260" s="3"/>
      <c r="P260" s="3"/>
      <c r="Q260" s="3"/>
      <c r="R260" s="3">
        <v>1</v>
      </c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>
        <v>1</v>
      </c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</row>
    <row r="261" spans="1:51" ht="13" x14ac:dyDescent="0.3">
      <c r="A261" s="22" t="s">
        <v>406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>
        <v>1</v>
      </c>
      <c r="AS261" s="3"/>
      <c r="AT261" s="3"/>
      <c r="AU261" s="3"/>
      <c r="AV261" s="3"/>
      <c r="AW261" s="3"/>
      <c r="AX261" s="3"/>
      <c r="AY261" s="3"/>
    </row>
    <row r="262" spans="1:51" ht="13" x14ac:dyDescent="0.3">
      <c r="A262" s="22" t="s">
        <v>463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>
        <v>4</v>
      </c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</row>
    <row r="263" spans="1:51" ht="13" x14ac:dyDescent="0.3">
      <c r="A263" s="22" t="s">
        <v>407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>
        <v>4</v>
      </c>
      <c r="AT263" s="3"/>
      <c r="AU263" s="3"/>
      <c r="AV263" s="3"/>
      <c r="AW263" s="3"/>
      <c r="AX263" s="3"/>
      <c r="AY263" s="3"/>
    </row>
    <row r="264" spans="1:51" ht="13" x14ac:dyDescent="0.3">
      <c r="A264" s="22" t="s">
        <v>135</v>
      </c>
      <c r="B264" s="3">
        <v>2</v>
      </c>
      <c r="C264" s="3"/>
      <c r="D264" s="3"/>
      <c r="E264" s="3"/>
      <c r="F264" s="3">
        <v>1</v>
      </c>
      <c r="G264" s="3"/>
      <c r="H264" s="3"/>
      <c r="I264" s="3"/>
      <c r="J264" s="3">
        <v>1</v>
      </c>
      <c r="K264" s="3"/>
      <c r="L264" s="3"/>
      <c r="M264" s="3"/>
      <c r="N264" s="3"/>
      <c r="O264" s="3"/>
      <c r="P264" s="3"/>
      <c r="Q264" s="3">
        <v>2</v>
      </c>
      <c r="R264" s="3"/>
      <c r="S264" s="3">
        <v>1</v>
      </c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>
        <v>1</v>
      </c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</row>
    <row r="265" spans="1:51" ht="13" x14ac:dyDescent="0.3">
      <c r="A265" s="22" t="s">
        <v>462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>
        <v>4</v>
      </c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</row>
    <row r="266" spans="1:51" ht="13" x14ac:dyDescent="0.3">
      <c r="A266" s="22" t="s">
        <v>322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>
        <v>1</v>
      </c>
      <c r="AW266" s="3"/>
      <c r="AX266" s="3"/>
      <c r="AY266" s="3"/>
    </row>
    <row r="267" spans="1:51" ht="13" x14ac:dyDescent="0.3">
      <c r="A267" s="22" t="s">
        <v>323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>
        <v>1</v>
      </c>
      <c r="AX267" s="3"/>
      <c r="AY267" s="3"/>
    </row>
    <row r="268" spans="1:51" ht="13" x14ac:dyDescent="0.3">
      <c r="A268" s="22" t="s">
        <v>420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>
        <v>4</v>
      </c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</row>
    <row r="269" spans="1:51" ht="13" x14ac:dyDescent="0.3">
      <c r="A269" s="22" t="s">
        <v>324</v>
      </c>
      <c r="B269" s="3"/>
      <c r="C269" s="3"/>
      <c r="D269" s="3"/>
      <c r="E269" s="3"/>
      <c r="F269" s="3"/>
      <c r="G269" s="3"/>
      <c r="H269" s="3"/>
      <c r="I269" s="3"/>
      <c r="J269" s="3">
        <v>1</v>
      </c>
      <c r="K269" s="3"/>
      <c r="L269" s="3"/>
      <c r="M269" s="3"/>
      <c r="N269" s="3"/>
      <c r="O269" s="3"/>
      <c r="P269" s="3"/>
      <c r="Q269" s="3">
        <v>1</v>
      </c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</row>
    <row r="270" spans="1:51" ht="13" x14ac:dyDescent="0.3">
      <c r="A270" s="22" t="s">
        <v>325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>
        <v>1</v>
      </c>
      <c r="AS270" s="3">
        <v>1</v>
      </c>
      <c r="AT270" s="3"/>
      <c r="AU270" s="3"/>
      <c r="AV270" s="3"/>
      <c r="AW270" s="3">
        <v>1</v>
      </c>
      <c r="AX270" s="3"/>
      <c r="AY270" s="3"/>
    </row>
    <row r="271" spans="1:51" ht="13" x14ac:dyDescent="0.3">
      <c r="A271" s="22" t="s">
        <v>136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>
        <v>1</v>
      </c>
      <c r="AG271" s="3">
        <v>1</v>
      </c>
      <c r="AH271" s="3"/>
      <c r="AI271" s="3"/>
      <c r="AJ271" s="3">
        <v>3</v>
      </c>
      <c r="AK271" s="3">
        <v>2</v>
      </c>
      <c r="AL271" s="3"/>
      <c r="AM271" s="3">
        <v>3</v>
      </c>
      <c r="AN271" s="3">
        <v>4</v>
      </c>
      <c r="AO271" s="3"/>
      <c r="AP271" s="3"/>
      <c r="AQ271" s="3"/>
      <c r="AR271" s="3">
        <v>4</v>
      </c>
      <c r="AS271" s="3"/>
      <c r="AT271" s="3"/>
      <c r="AU271" s="3"/>
      <c r="AV271" s="3"/>
      <c r="AW271" s="3"/>
      <c r="AX271" s="3"/>
      <c r="AY271" s="3"/>
    </row>
    <row r="272" spans="1:51" ht="13" x14ac:dyDescent="0.3">
      <c r="A272" s="22" t="s">
        <v>137</v>
      </c>
      <c r="B272" s="3"/>
      <c r="C272" s="3"/>
      <c r="D272" s="3"/>
      <c r="E272" s="3"/>
      <c r="F272" s="3"/>
      <c r="G272" s="3"/>
      <c r="H272" s="3"/>
      <c r="I272" s="3"/>
      <c r="J272" s="3">
        <v>2</v>
      </c>
      <c r="K272" s="3"/>
      <c r="L272" s="3"/>
      <c r="M272" s="3"/>
      <c r="N272" s="3"/>
      <c r="O272" s="3"/>
      <c r="P272" s="3"/>
      <c r="Q272" s="3">
        <v>1</v>
      </c>
      <c r="R272" s="3"/>
      <c r="S272" s="3"/>
      <c r="T272" s="3">
        <v>2</v>
      </c>
      <c r="U272" s="3">
        <v>3</v>
      </c>
      <c r="V272" s="3"/>
      <c r="W272" s="3"/>
      <c r="X272" s="3">
        <v>1</v>
      </c>
      <c r="Y272" s="3">
        <v>1</v>
      </c>
      <c r="Z272" s="3"/>
      <c r="AA272" s="3"/>
      <c r="AB272" s="3">
        <v>1</v>
      </c>
      <c r="AC272" s="3">
        <v>1</v>
      </c>
      <c r="AD272" s="3"/>
      <c r="AE272" s="3"/>
      <c r="AF272" s="3">
        <v>1</v>
      </c>
      <c r="AG272" s="3">
        <v>1</v>
      </c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</row>
    <row r="273" spans="1:51" ht="13" x14ac:dyDescent="0.3">
      <c r="A273" s="22" t="s">
        <v>138</v>
      </c>
      <c r="B273" s="3"/>
      <c r="C273" s="3"/>
      <c r="D273" s="3"/>
      <c r="E273" s="3"/>
      <c r="F273" s="3"/>
      <c r="G273" s="3"/>
      <c r="H273" s="3"/>
      <c r="I273" s="3"/>
      <c r="J273" s="3">
        <v>1</v>
      </c>
      <c r="K273" s="3"/>
      <c r="L273" s="3"/>
      <c r="M273" s="3"/>
      <c r="N273" s="3"/>
      <c r="O273" s="3"/>
      <c r="P273" s="3"/>
      <c r="Q273" s="3">
        <v>1</v>
      </c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>
        <v>2</v>
      </c>
      <c r="AF273" s="3">
        <v>2</v>
      </c>
      <c r="AG273" s="3">
        <v>2</v>
      </c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</row>
    <row r="274" spans="1:51" ht="13" x14ac:dyDescent="0.3">
      <c r="A274" s="22" t="s">
        <v>139</v>
      </c>
      <c r="B274" s="3">
        <v>2</v>
      </c>
      <c r="C274" s="3"/>
      <c r="D274" s="3"/>
      <c r="E274" s="3"/>
      <c r="F274" s="3">
        <v>3</v>
      </c>
      <c r="G274" s="3"/>
      <c r="H274" s="3">
        <v>1</v>
      </c>
      <c r="I274" s="3"/>
      <c r="J274" s="3">
        <v>1</v>
      </c>
      <c r="K274" s="3"/>
      <c r="L274" s="3"/>
      <c r="M274" s="3"/>
      <c r="N274" s="3"/>
      <c r="O274" s="3"/>
      <c r="P274" s="3"/>
      <c r="Q274" s="3"/>
      <c r="R274" s="3"/>
      <c r="S274" s="3"/>
      <c r="T274" s="3">
        <v>3</v>
      </c>
      <c r="U274" s="3">
        <v>3</v>
      </c>
      <c r="V274" s="3">
        <v>3</v>
      </c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</row>
    <row r="275" spans="1:51" ht="13" x14ac:dyDescent="0.3">
      <c r="A275" s="23" t="s">
        <v>140</v>
      </c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>
        <v>1</v>
      </c>
      <c r="Y275" s="20">
        <v>1</v>
      </c>
      <c r="Z275" s="20"/>
      <c r="AA275" s="20">
        <v>1</v>
      </c>
      <c r="AB275" s="20">
        <v>1</v>
      </c>
      <c r="AC275" s="20">
        <v>1</v>
      </c>
      <c r="AD275" s="20"/>
      <c r="AE275" s="20"/>
      <c r="AF275" s="20">
        <v>1</v>
      </c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</row>
    <row r="276" spans="1:51" ht="13" x14ac:dyDescent="0.3">
      <c r="A276" s="22" t="s">
        <v>141</v>
      </c>
      <c r="B276" s="3"/>
      <c r="C276" s="3"/>
      <c r="D276" s="3"/>
      <c r="E276" s="3"/>
      <c r="F276" s="3"/>
      <c r="G276" s="3"/>
      <c r="H276" s="3">
        <v>1</v>
      </c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>
        <v>3</v>
      </c>
      <c r="AF276" s="3">
        <v>3</v>
      </c>
      <c r="AG276" s="3">
        <v>3</v>
      </c>
      <c r="AH276" s="3"/>
      <c r="AI276" s="3">
        <v>3</v>
      </c>
      <c r="AJ276" s="3">
        <v>3</v>
      </c>
      <c r="AK276" s="3">
        <v>3</v>
      </c>
      <c r="AL276" s="3"/>
      <c r="AM276" s="3">
        <v>1</v>
      </c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</row>
    <row r="277" spans="1:51" ht="13" x14ac:dyDescent="0.3">
      <c r="A277" s="22" t="s">
        <v>326</v>
      </c>
      <c r="B277" s="3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>
        <v>1</v>
      </c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</row>
    <row r="278" spans="1:51" ht="13" x14ac:dyDescent="0.3">
      <c r="A278" s="22" t="s">
        <v>327</v>
      </c>
      <c r="B278" s="3"/>
      <c r="C278" s="3"/>
      <c r="D278" s="3"/>
      <c r="E278" s="3"/>
      <c r="F278" s="3"/>
      <c r="G278" s="3"/>
      <c r="H278" s="3"/>
      <c r="I278" s="3"/>
      <c r="J278" s="3">
        <v>1</v>
      </c>
      <c r="K278" s="3"/>
      <c r="L278" s="3"/>
      <c r="M278" s="3"/>
      <c r="N278" s="3"/>
      <c r="O278" s="3"/>
      <c r="P278" s="3"/>
      <c r="Q278" s="3">
        <v>1</v>
      </c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>
        <v>1</v>
      </c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>
        <v>1</v>
      </c>
      <c r="AT278" s="3">
        <v>1</v>
      </c>
      <c r="AU278" s="3"/>
      <c r="AV278" s="3">
        <v>1</v>
      </c>
      <c r="AW278" s="3"/>
      <c r="AX278" s="3"/>
      <c r="AY278" s="3"/>
    </row>
    <row r="279" spans="1:51" ht="13" x14ac:dyDescent="0.3">
      <c r="A279" s="22" t="s">
        <v>142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>
        <v>1</v>
      </c>
      <c r="Y279" s="3">
        <v>1</v>
      </c>
      <c r="Z279" s="3"/>
      <c r="AA279" s="3"/>
      <c r="AB279" s="3">
        <v>3</v>
      </c>
      <c r="AC279" s="3">
        <v>3</v>
      </c>
      <c r="AD279" s="3"/>
      <c r="AE279" s="3"/>
      <c r="AF279" s="3">
        <v>1</v>
      </c>
      <c r="AG279" s="3"/>
      <c r="AH279" s="3"/>
      <c r="AI279" s="3"/>
      <c r="AJ279" s="3"/>
      <c r="AK279" s="3"/>
      <c r="AL279" s="3"/>
      <c r="AM279" s="3">
        <v>2</v>
      </c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</row>
    <row r="280" spans="1:51" ht="13" x14ac:dyDescent="0.3">
      <c r="A280" s="22" t="s">
        <v>143</v>
      </c>
      <c r="B280" s="3">
        <v>3</v>
      </c>
      <c r="C280" s="3">
        <v>3</v>
      </c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>
        <v>2</v>
      </c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</row>
    <row r="281" spans="1:51" ht="13" x14ac:dyDescent="0.3">
      <c r="A281" s="22" t="s">
        <v>389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>
        <v>4</v>
      </c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>
        <v>1</v>
      </c>
      <c r="AU281" s="3"/>
      <c r="AV281" s="3"/>
      <c r="AW281" s="3"/>
      <c r="AX281" s="3"/>
      <c r="AY281" s="3"/>
    </row>
    <row r="282" spans="1:51" ht="13" x14ac:dyDescent="0.3">
      <c r="A282" s="22" t="s">
        <v>328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>
        <v>3</v>
      </c>
      <c r="AF282" s="3">
        <v>3</v>
      </c>
      <c r="AG282" s="3">
        <v>3</v>
      </c>
      <c r="AH282" s="3">
        <v>3</v>
      </c>
      <c r="AI282" s="3">
        <v>3</v>
      </c>
      <c r="AJ282" s="3">
        <v>3</v>
      </c>
      <c r="AK282" s="3">
        <v>3</v>
      </c>
      <c r="AL282" s="3">
        <v>3</v>
      </c>
      <c r="AM282" s="3">
        <v>1</v>
      </c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</row>
    <row r="283" spans="1:51" ht="13" x14ac:dyDescent="0.3">
      <c r="A283" s="22" t="s">
        <v>329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>
        <v>1</v>
      </c>
      <c r="AX283" s="3"/>
      <c r="AY283" s="3"/>
    </row>
    <row r="284" spans="1:51" ht="13" x14ac:dyDescent="0.3">
      <c r="A284" s="22" t="s">
        <v>330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>
        <v>1</v>
      </c>
      <c r="AS284" s="3"/>
      <c r="AT284" s="3"/>
      <c r="AU284" s="3"/>
      <c r="AV284" s="3"/>
      <c r="AW284" s="3">
        <v>1</v>
      </c>
      <c r="AX284" s="3"/>
      <c r="AY284" s="3"/>
    </row>
    <row r="285" spans="1:51" ht="13" x14ac:dyDescent="0.3">
      <c r="A285" s="22" t="s">
        <v>144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>
        <v>1</v>
      </c>
      <c r="AF285" s="3">
        <v>3</v>
      </c>
      <c r="AG285" s="3"/>
      <c r="AH285" s="3"/>
      <c r="AI285" s="3">
        <v>2</v>
      </c>
      <c r="AJ285" s="3"/>
      <c r="AK285" s="3">
        <v>2</v>
      </c>
      <c r="AL285" s="3"/>
      <c r="AM285" s="3">
        <v>1</v>
      </c>
      <c r="AN285" s="3"/>
      <c r="AO285" s="3"/>
      <c r="AP285" s="3">
        <v>3</v>
      </c>
      <c r="AQ285" s="3">
        <v>3</v>
      </c>
      <c r="AR285" s="3">
        <v>3</v>
      </c>
      <c r="AS285" s="3">
        <v>3</v>
      </c>
      <c r="AT285" s="3">
        <v>3</v>
      </c>
      <c r="AU285" s="3">
        <v>3</v>
      </c>
      <c r="AV285" s="3">
        <v>3</v>
      </c>
      <c r="AW285" s="3"/>
      <c r="AX285" s="3"/>
      <c r="AY285" s="3">
        <v>3</v>
      </c>
    </row>
    <row r="286" spans="1:51" ht="13" x14ac:dyDescent="0.3">
      <c r="A286" s="22" t="s">
        <v>409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>
        <v>1</v>
      </c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</row>
    <row r="287" spans="1:51" ht="13" x14ac:dyDescent="0.3">
      <c r="A287" s="22" t="s">
        <v>393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>
        <v>1</v>
      </c>
      <c r="AU287" s="3"/>
      <c r="AV287" s="3">
        <v>1</v>
      </c>
      <c r="AW287" s="3"/>
      <c r="AX287" s="3"/>
      <c r="AY287" s="3"/>
    </row>
    <row r="288" spans="1:51" ht="13" x14ac:dyDescent="0.3">
      <c r="A288" s="22" t="s">
        <v>145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>
        <v>2</v>
      </c>
      <c r="Y288" s="3">
        <v>1</v>
      </c>
      <c r="Z288" s="3">
        <v>2</v>
      </c>
      <c r="AA288" s="3">
        <v>1</v>
      </c>
      <c r="AB288" s="3">
        <v>1</v>
      </c>
      <c r="AC288" s="3">
        <v>1</v>
      </c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>
        <v>1</v>
      </c>
      <c r="AQ288" s="3"/>
      <c r="AR288" s="3"/>
      <c r="AS288" s="3"/>
      <c r="AT288" s="3"/>
      <c r="AU288" s="3"/>
      <c r="AV288" s="3"/>
      <c r="AW288" s="3"/>
      <c r="AX288" s="3"/>
      <c r="AY288" s="3"/>
    </row>
    <row r="289" spans="1:51" ht="13" x14ac:dyDescent="0.3">
      <c r="A289" s="22" t="s">
        <v>465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>
        <v>4</v>
      </c>
      <c r="AP289" s="3"/>
      <c r="AQ289" s="3"/>
      <c r="AR289" s="3"/>
      <c r="AS289" s="3"/>
      <c r="AT289" s="3"/>
      <c r="AU289" s="3"/>
      <c r="AV289" s="3"/>
      <c r="AW289" s="3"/>
      <c r="AX289" s="3"/>
      <c r="AY289" s="3"/>
    </row>
    <row r="290" spans="1:51" ht="13" x14ac:dyDescent="0.3">
      <c r="A290" s="22" t="s">
        <v>146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>
        <v>2</v>
      </c>
      <c r="Y290" s="3">
        <v>1</v>
      </c>
      <c r="Z290" s="3">
        <v>2</v>
      </c>
      <c r="AA290" s="3"/>
      <c r="AB290" s="3">
        <v>1</v>
      </c>
      <c r="AC290" s="3">
        <v>1</v>
      </c>
      <c r="AD290" s="3"/>
      <c r="AE290" s="3"/>
      <c r="AF290" s="3"/>
      <c r="AG290" s="3"/>
      <c r="AH290" s="3"/>
      <c r="AI290" s="3"/>
      <c r="AJ290" s="3"/>
      <c r="AK290" s="3"/>
      <c r="AL290" s="3"/>
      <c r="AM290" s="3">
        <v>4</v>
      </c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</row>
    <row r="291" spans="1:51" ht="13" x14ac:dyDescent="0.3">
      <c r="A291" s="22" t="s">
        <v>331</v>
      </c>
      <c r="B291" s="3"/>
      <c r="C291" s="3"/>
      <c r="D291" s="3"/>
      <c r="E291" s="3"/>
      <c r="F291" s="3"/>
      <c r="G291" s="3"/>
      <c r="H291" s="3">
        <v>1</v>
      </c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>
        <v>1</v>
      </c>
      <c r="AC291" s="3">
        <v>1</v>
      </c>
      <c r="AD291" s="3"/>
      <c r="AE291" s="3"/>
      <c r="AF291" s="3">
        <v>1</v>
      </c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>
        <v>1</v>
      </c>
      <c r="AS291" s="3"/>
      <c r="AT291" s="3"/>
      <c r="AU291" s="3"/>
      <c r="AV291" s="3"/>
      <c r="AW291" s="3"/>
      <c r="AX291" s="3"/>
      <c r="AY291" s="3"/>
    </row>
    <row r="292" spans="1:51" ht="13" x14ac:dyDescent="0.3">
      <c r="A292" s="22" t="s">
        <v>332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>
        <v>4</v>
      </c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</row>
    <row r="293" spans="1:51" ht="13" x14ac:dyDescent="0.3">
      <c r="A293" s="22" t="s">
        <v>333</v>
      </c>
      <c r="B293" s="3"/>
      <c r="C293" s="3"/>
      <c r="D293" s="3"/>
      <c r="E293" s="3"/>
      <c r="F293" s="3"/>
      <c r="G293" s="3"/>
      <c r="H293" s="3"/>
      <c r="I293" s="3"/>
      <c r="J293" s="3">
        <v>1</v>
      </c>
      <c r="K293" s="3"/>
      <c r="L293" s="3"/>
      <c r="M293" s="3"/>
      <c r="N293" s="3"/>
      <c r="O293" s="3"/>
      <c r="P293" s="3"/>
      <c r="Q293" s="3">
        <v>2</v>
      </c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>
        <v>1</v>
      </c>
      <c r="AH293" s="3"/>
      <c r="AI293" s="3"/>
      <c r="AJ293" s="3"/>
      <c r="AK293" s="3"/>
      <c r="AL293" s="3"/>
      <c r="AM293" s="3"/>
      <c r="AN293" s="3"/>
      <c r="AO293" s="3"/>
      <c r="AP293" s="3">
        <v>1</v>
      </c>
      <c r="AQ293" s="3">
        <v>1</v>
      </c>
      <c r="AR293" s="3">
        <v>1</v>
      </c>
      <c r="AS293" s="3">
        <v>1</v>
      </c>
      <c r="AT293" s="3">
        <v>1</v>
      </c>
      <c r="AU293" s="3"/>
      <c r="AV293" s="3"/>
      <c r="AW293" s="3"/>
      <c r="AX293" s="3"/>
      <c r="AY293" s="3"/>
    </row>
    <row r="294" spans="1:51" ht="13" x14ac:dyDescent="0.3">
      <c r="A294" s="22" t="s">
        <v>147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>
        <v>1</v>
      </c>
      <c r="W294" s="3"/>
      <c r="X294" s="3">
        <v>3</v>
      </c>
      <c r="Y294" s="3">
        <v>3</v>
      </c>
      <c r="Z294" s="3">
        <v>3</v>
      </c>
      <c r="AA294" s="3">
        <v>3</v>
      </c>
      <c r="AB294" s="3">
        <v>2</v>
      </c>
      <c r="AC294" s="3">
        <v>2</v>
      </c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</row>
    <row r="295" spans="1:51" ht="13" x14ac:dyDescent="0.3">
      <c r="A295" s="22" t="s">
        <v>148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>
        <v>2</v>
      </c>
      <c r="W295" s="3"/>
      <c r="X295" s="3">
        <v>1</v>
      </c>
      <c r="Y295" s="3">
        <v>2</v>
      </c>
      <c r="Z295" s="3">
        <v>4</v>
      </c>
      <c r="AA295" s="3">
        <v>2</v>
      </c>
      <c r="AB295" s="3">
        <v>1</v>
      </c>
      <c r="AC295" s="3">
        <v>1</v>
      </c>
      <c r="AD295" s="3"/>
      <c r="AE295" s="3"/>
      <c r="AF295" s="3"/>
      <c r="AG295" s="3"/>
      <c r="AH295" s="3"/>
      <c r="AI295" s="3"/>
      <c r="AJ295" s="3"/>
      <c r="AK295" s="3"/>
      <c r="AL295" s="3"/>
      <c r="AM295" s="3">
        <v>1</v>
      </c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</row>
    <row r="296" spans="1:51" ht="13" x14ac:dyDescent="0.3">
      <c r="A296" s="22" t="s">
        <v>334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>
        <v>1</v>
      </c>
      <c r="AW296" s="3"/>
      <c r="AX296" s="3"/>
      <c r="AY296" s="3"/>
    </row>
    <row r="297" spans="1:51" ht="13" x14ac:dyDescent="0.3">
      <c r="A297" s="22" t="s">
        <v>149</v>
      </c>
      <c r="B297" s="3">
        <v>2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>
        <v>1</v>
      </c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>
        <v>1</v>
      </c>
      <c r="AH297" s="3"/>
      <c r="AI297" s="3"/>
      <c r="AJ297" s="3"/>
      <c r="AK297" s="3">
        <v>1</v>
      </c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</row>
    <row r="298" spans="1:51" ht="13" x14ac:dyDescent="0.3">
      <c r="A298" s="22" t="s">
        <v>335</v>
      </c>
      <c r="B298" s="3">
        <v>1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</row>
    <row r="299" spans="1:51" ht="13" x14ac:dyDescent="0.3">
      <c r="A299" s="22" t="s">
        <v>150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>
        <v>3</v>
      </c>
      <c r="AF299" s="3">
        <v>2</v>
      </c>
      <c r="AG299" s="3">
        <v>2</v>
      </c>
      <c r="AH299" s="3"/>
      <c r="AI299" s="3">
        <v>2</v>
      </c>
      <c r="AJ299" s="3"/>
      <c r="AK299" s="3"/>
      <c r="AL299" s="3"/>
      <c r="AM299" s="3">
        <v>1</v>
      </c>
      <c r="AN299" s="3">
        <v>1</v>
      </c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</row>
    <row r="300" spans="1:51" ht="13" x14ac:dyDescent="0.3">
      <c r="A300" s="22" t="s">
        <v>151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>
        <v>2</v>
      </c>
      <c r="AF300" s="3"/>
      <c r="AG300" s="3"/>
      <c r="AH300" s="3"/>
      <c r="AI300" s="3">
        <v>3</v>
      </c>
      <c r="AJ300" s="3"/>
      <c r="AK300" s="3"/>
      <c r="AL300" s="3"/>
      <c r="AM300" s="3">
        <v>1</v>
      </c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</row>
    <row r="301" spans="1:51" ht="13" x14ac:dyDescent="0.3">
      <c r="A301" s="22" t="s">
        <v>418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>
        <v>4</v>
      </c>
      <c r="AC301" s="3">
        <v>4</v>
      </c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</row>
    <row r="302" spans="1:51" ht="13" x14ac:dyDescent="0.3">
      <c r="A302" s="22" t="s">
        <v>450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>
        <v>4</v>
      </c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</row>
    <row r="303" spans="1:51" ht="13" x14ac:dyDescent="0.3">
      <c r="A303" s="22" t="s">
        <v>336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>
        <v>1</v>
      </c>
      <c r="AX303" s="3"/>
      <c r="AY303" s="3"/>
    </row>
    <row r="304" spans="1:51" ht="13" x14ac:dyDescent="0.3">
      <c r="A304" s="22" t="s">
        <v>337</v>
      </c>
      <c r="B304" s="3"/>
      <c r="C304" s="3"/>
      <c r="D304" s="3">
        <v>1</v>
      </c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>
        <v>4</v>
      </c>
      <c r="AX304" s="3"/>
      <c r="AY304" s="3"/>
    </row>
    <row r="305" spans="1:51" ht="13" x14ac:dyDescent="0.3">
      <c r="A305" s="22" t="s">
        <v>338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>
        <v>1</v>
      </c>
      <c r="AL305" s="3"/>
      <c r="AM305" s="3">
        <v>1</v>
      </c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</row>
    <row r="306" spans="1:51" ht="13" x14ac:dyDescent="0.3">
      <c r="A306" s="23" t="s">
        <v>153</v>
      </c>
      <c r="B306" s="20">
        <v>2</v>
      </c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>
        <v>1</v>
      </c>
      <c r="U306" s="20">
        <v>1</v>
      </c>
      <c r="V306" s="20"/>
      <c r="W306" s="20"/>
      <c r="X306" s="20"/>
      <c r="Y306" s="20">
        <v>2</v>
      </c>
      <c r="Z306" s="20">
        <v>2</v>
      </c>
      <c r="AA306" s="20">
        <v>2</v>
      </c>
      <c r="AB306" s="20">
        <v>2</v>
      </c>
      <c r="AC306" s="20">
        <v>2</v>
      </c>
      <c r="AD306" s="20"/>
      <c r="AE306" s="20"/>
      <c r="AF306" s="20"/>
      <c r="AG306" s="20"/>
      <c r="AH306" s="20"/>
      <c r="AI306" s="20"/>
      <c r="AJ306" s="20"/>
      <c r="AK306" s="20"/>
      <c r="AL306" s="20"/>
      <c r="AM306" s="20">
        <v>1</v>
      </c>
      <c r="AN306" s="20"/>
      <c r="AO306" s="20"/>
      <c r="AP306" s="20"/>
      <c r="AQ306" s="20"/>
      <c r="AR306" s="3"/>
      <c r="AS306" s="3"/>
      <c r="AT306" s="3"/>
      <c r="AU306" s="3"/>
      <c r="AV306" s="20"/>
      <c r="AW306" s="20"/>
      <c r="AX306" s="20"/>
      <c r="AY306" s="20"/>
    </row>
    <row r="307" spans="1:51" ht="13" x14ac:dyDescent="0.3">
      <c r="A307" s="22" t="s">
        <v>339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>
        <v>1</v>
      </c>
      <c r="AL307" s="3"/>
      <c r="AM307" s="3">
        <v>1</v>
      </c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</row>
    <row r="308" spans="1:51" ht="13" x14ac:dyDescent="0.3">
      <c r="A308" s="22" t="s">
        <v>154</v>
      </c>
      <c r="B308" s="3">
        <v>2</v>
      </c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>
        <v>2</v>
      </c>
      <c r="R308" s="3"/>
      <c r="S308" s="3"/>
      <c r="T308" s="3">
        <v>3</v>
      </c>
      <c r="U308" s="3">
        <v>3</v>
      </c>
      <c r="V308" s="3"/>
      <c r="W308" s="3"/>
      <c r="X308" s="3">
        <v>2</v>
      </c>
      <c r="Y308" s="3">
        <v>3</v>
      </c>
      <c r="Z308" s="3">
        <v>2</v>
      </c>
      <c r="AA308" s="3">
        <v>3</v>
      </c>
      <c r="AB308" s="3">
        <v>2</v>
      </c>
      <c r="AC308" s="3">
        <v>2</v>
      </c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</row>
    <row r="309" spans="1:51" ht="13" x14ac:dyDescent="0.3">
      <c r="A309" s="22" t="s">
        <v>340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>
        <v>1</v>
      </c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>
        <v>1</v>
      </c>
      <c r="AW309" s="3"/>
      <c r="AX309" s="3"/>
      <c r="AY309" s="3"/>
    </row>
    <row r="310" spans="1:51" ht="13" x14ac:dyDescent="0.3">
      <c r="A310" s="22" t="s">
        <v>341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>
        <v>1</v>
      </c>
      <c r="AQ310" s="3"/>
      <c r="AR310" s="3"/>
      <c r="AS310" s="3"/>
      <c r="AT310" s="3">
        <v>1</v>
      </c>
      <c r="AU310" s="3"/>
      <c r="AV310" s="3"/>
      <c r="AW310" s="3"/>
      <c r="AX310" s="3"/>
      <c r="AY310" s="3"/>
    </row>
    <row r="311" spans="1:51" ht="13" x14ac:dyDescent="0.3">
      <c r="A311" s="22" t="s">
        <v>453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>
        <v>4</v>
      </c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</row>
    <row r="312" spans="1:51" ht="13" x14ac:dyDescent="0.3">
      <c r="A312" s="22" t="s">
        <v>390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>
        <v>1</v>
      </c>
      <c r="AS312" s="3">
        <v>1</v>
      </c>
      <c r="AT312" s="3"/>
      <c r="AU312" s="3">
        <v>1</v>
      </c>
      <c r="AV312" s="3"/>
      <c r="AW312" s="3"/>
      <c r="AX312" s="3"/>
      <c r="AY312" s="3"/>
    </row>
    <row r="313" spans="1:51" ht="13" x14ac:dyDescent="0.3">
      <c r="A313" s="22" t="s">
        <v>342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>
        <v>1</v>
      </c>
      <c r="AW313" s="3"/>
      <c r="AX313" s="3"/>
      <c r="AY313" s="3"/>
    </row>
    <row r="314" spans="1:51" ht="13" x14ac:dyDescent="0.3">
      <c r="A314" s="22" t="s">
        <v>343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>
        <v>1</v>
      </c>
      <c r="Y314" s="3">
        <v>1</v>
      </c>
      <c r="Z314" s="3">
        <v>4</v>
      </c>
      <c r="AA314" s="3">
        <v>4</v>
      </c>
      <c r="AB314" s="3">
        <v>1</v>
      </c>
      <c r="AC314" s="3">
        <v>1</v>
      </c>
      <c r="AD314" s="3"/>
      <c r="AE314" s="3"/>
      <c r="AF314" s="3">
        <v>1</v>
      </c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</row>
    <row r="315" spans="1:51" ht="13" x14ac:dyDescent="0.3">
      <c r="A315" s="22" t="s">
        <v>396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>
        <v>1</v>
      </c>
      <c r="AS315" s="3">
        <v>1</v>
      </c>
      <c r="AT315" s="3"/>
      <c r="AU315" s="3"/>
      <c r="AV315" s="3"/>
      <c r="AW315" s="3"/>
      <c r="AX315" s="3"/>
      <c r="AY315" s="3"/>
    </row>
    <row r="316" spans="1:51" ht="13" x14ac:dyDescent="0.3">
      <c r="A316" s="22" t="s">
        <v>344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>
        <v>1</v>
      </c>
      <c r="AS316" s="3">
        <v>1</v>
      </c>
      <c r="AT316" s="3"/>
      <c r="AU316" s="3">
        <v>1</v>
      </c>
      <c r="AV316" s="3">
        <v>1</v>
      </c>
      <c r="AW316" s="3">
        <v>1</v>
      </c>
      <c r="AX316" s="3"/>
      <c r="AY316" s="3"/>
    </row>
    <row r="317" spans="1:51" ht="13" x14ac:dyDescent="0.3">
      <c r="A317" s="22" t="s">
        <v>156</v>
      </c>
      <c r="B317" s="3">
        <v>1</v>
      </c>
      <c r="C317" s="3"/>
      <c r="D317" s="3"/>
      <c r="E317" s="3"/>
      <c r="F317" s="3"/>
      <c r="G317" s="3"/>
      <c r="H317" s="3">
        <v>1</v>
      </c>
      <c r="I317" s="3"/>
      <c r="J317" s="3">
        <v>2</v>
      </c>
      <c r="K317" s="3"/>
      <c r="L317" s="3"/>
      <c r="M317" s="3"/>
      <c r="N317" s="3"/>
      <c r="O317" s="3"/>
      <c r="P317" s="3"/>
      <c r="Q317" s="3">
        <v>2</v>
      </c>
      <c r="R317" s="3"/>
      <c r="S317" s="3">
        <v>1</v>
      </c>
      <c r="T317" s="3"/>
      <c r="U317" s="3"/>
      <c r="V317" s="3"/>
      <c r="W317" s="3"/>
      <c r="X317" s="3">
        <v>1</v>
      </c>
      <c r="Y317" s="3">
        <v>1</v>
      </c>
      <c r="Z317" s="3"/>
      <c r="AA317" s="3"/>
      <c r="AB317" s="3">
        <v>1</v>
      </c>
      <c r="AC317" s="3">
        <v>1</v>
      </c>
      <c r="AD317" s="3"/>
      <c r="AE317" s="3"/>
      <c r="AF317" s="3">
        <v>4</v>
      </c>
      <c r="AG317" s="3">
        <v>2</v>
      </c>
      <c r="AH317" s="3"/>
      <c r="AI317" s="3"/>
      <c r="AJ317" s="3"/>
      <c r="AK317" s="3"/>
      <c r="AL317" s="3"/>
      <c r="AM317" s="3">
        <v>1</v>
      </c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</row>
    <row r="318" spans="1:51" ht="13" x14ac:dyDescent="0.3">
      <c r="A318" s="22" t="s">
        <v>157</v>
      </c>
      <c r="B318" s="3"/>
      <c r="C318" s="3"/>
      <c r="D318" s="3"/>
      <c r="E318" s="3"/>
      <c r="F318" s="3"/>
      <c r="G318" s="3"/>
      <c r="H318" s="3">
        <v>2</v>
      </c>
      <c r="I318" s="3"/>
      <c r="J318" s="3">
        <v>3</v>
      </c>
      <c r="K318" s="3">
        <v>3</v>
      </c>
      <c r="L318" s="3"/>
      <c r="M318" s="3">
        <v>3</v>
      </c>
      <c r="N318" s="3">
        <v>3</v>
      </c>
      <c r="O318" s="3"/>
      <c r="P318" s="3"/>
      <c r="Q318" s="3">
        <v>3</v>
      </c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>
        <v>3</v>
      </c>
      <c r="AI318" s="3"/>
      <c r="AJ318" s="3"/>
      <c r="AK318" s="3"/>
      <c r="AL318" s="3">
        <v>3</v>
      </c>
      <c r="AM318" s="3"/>
      <c r="AN318" s="3"/>
      <c r="AO318" s="3"/>
      <c r="AP318" s="3">
        <v>1</v>
      </c>
      <c r="AQ318" s="3"/>
      <c r="AR318" s="3">
        <v>1</v>
      </c>
      <c r="AS318" s="3">
        <v>1</v>
      </c>
      <c r="AT318" s="3">
        <v>1</v>
      </c>
      <c r="AU318" s="3"/>
      <c r="AV318" s="3"/>
      <c r="AW318" s="3"/>
      <c r="AX318" s="3"/>
      <c r="AY318" s="3"/>
    </row>
    <row r="319" spans="1:51" ht="13" x14ac:dyDescent="0.3">
      <c r="A319" s="22" t="s">
        <v>345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>
        <v>1</v>
      </c>
      <c r="AS319" s="3"/>
      <c r="AT319" s="3">
        <v>1</v>
      </c>
      <c r="AU319" s="3"/>
      <c r="AV319" s="3"/>
      <c r="AW319" s="3"/>
      <c r="AX319" s="3"/>
      <c r="AY319" s="3"/>
    </row>
    <row r="320" spans="1:51" ht="13" x14ac:dyDescent="0.3">
      <c r="A320" s="22" t="s">
        <v>158</v>
      </c>
      <c r="B320" s="3">
        <v>2</v>
      </c>
      <c r="C320" s="3"/>
      <c r="D320" s="3"/>
      <c r="E320" s="3"/>
      <c r="F320" s="3"/>
      <c r="G320" s="3"/>
      <c r="H320" s="3"/>
      <c r="I320" s="3"/>
      <c r="J320" s="3">
        <v>3</v>
      </c>
      <c r="K320" s="3"/>
      <c r="L320" s="3"/>
      <c r="M320" s="3"/>
      <c r="N320" s="3"/>
      <c r="O320" s="3"/>
      <c r="P320" s="3"/>
      <c r="Q320" s="3">
        <v>3</v>
      </c>
      <c r="R320" s="3"/>
      <c r="S320" s="3">
        <v>3</v>
      </c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>
        <v>2</v>
      </c>
      <c r="AH320" s="3"/>
      <c r="AI320" s="3"/>
      <c r="AJ320" s="3"/>
      <c r="AK320" s="3"/>
      <c r="AL320" s="3"/>
      <c r="AM320" s="3">
        <v>1</v>
      </c>
      <c r="AN320" s="3"/>
      <c r="AO320" s="3"/>
      <c r="AP320" s="3">
        <v>3</v>
      </c>
      <c r="AQ320" s="3">
        <v>3</v>
      </c>
      <c r="AR320" s="3">
        <v>3</v>
      </c>
      <c r="AS320" s="3">
        <v>3</v>
      </c>
      <c r="AT320" s="3">
        <v>3</v>
      </c>
      <c r="AU320" s="3">
        <v>3</v>
      </c>
      <c r="AV320" s="3">
        <v>3</v>
      </c>
      <c r="AW320" s="3"/>
      <c r="AX320" s="3"/>
      <c r="AY320" s="3"/>
    </row>
    <row r="321" spans="1:51" ht="13" x14ac:dyDescent="0.3">
      <c r="A321" s="22" t="s">
        <v>346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>
        <v>2</v>
      </c>
      <c r="AF321" s="3">
        <v>2</v>
      </c>
      <c r="AG321" s="3">
        <v>2</v>
      </c>
      <c r="AH321" s="3"/>
      <c r="AI321" s="3">
        <v>3</v>
      </c>
      <c r="AJ321" s="3">
        <v>2</v>
      </c>
      <c r="AK321" s="3">
        <v>3</v>
      </c>
      <c r="AL321" s="3"/>
      <c r="AM321" s="3">
        <v>1</v>
      </c>
      <c r="AN321" s="3">
        <v>1</v>
      </c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</row>
    <row r="322" spans="1:51" ht="13" x14ac:dyDescent="0.3">
      <c r="A322" s="22" t="s">
        <v>160</v>
      </c>
      <c r="B322" s="3">
        <v>1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>
        <v>3</v>
      </c>
      <c r="Y322" s="3"/>
      <c r="Z322" s="3">
        <v>3</v>
      </c>
      <c r="AA322" s="3">
        <v>1</v>
      </c>
      <c r="AB322" s="3">
        <v>1</v>
      </c>
      <c r="AC322" s="3">
        <v>1</v>
      </c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>
        <v>1</v>
      </c>
      <c r="AS322" s="3"/>
      <c r="AT322" s="3"/>
      <c r="AU322" s="3"/>
      <c r="AV322" s="3"/>
      <c r="AW322" s="3"/>
      <c r="AX322" s="3"/>
      <c r="AY322" s="3"/>
    </row>
    <row r="323" spans="1:51" ht="13" x14ac:dyDescent="0.3">
      <c r="A323" s="22" t="s">
        <v>347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>
        <v>1</v>
      </c>
      <c r="AS323" s="3"/>
      <c r="AT323" s="3"/>
      <c r="AU323" s="3"/>
      <c r="AV323" s="3">
        <v>1</v>
      </c>
      <c r="AW323" s="3"/>
      <c r="AX323" s="3"/>
      <c r="AY323" s="3"/>
    </row>
    <row r="324" spans="1:51" ht="13" x14ac:dyDescent="0.3">
      <c r="A324" s="22" t="s">
        <v>161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>
        <v>2</v>
      </c>
      <c r="AF324" s="3">
        <v>2</v>
      </c>
      <c r="AG324" s="3">
        <v>2</v>
      </c>
      <c r="AH324" s="3"/>
      <c r="AI324" s="3">
        <v>2</v>
      </c>
      <c r="AJ324" s="3">
        <v>1</v>
      </c>
      <c r="AK324" s="3">
        <v>2</v>
      </c>
      <c r="AL324" s="3"/>
      <c r="AM324" s="3">
        <v>1</v>
      </c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</row>
    <row r="325" spans="1:51" ht="13" x14ac:dyDescent="0.3">
      <c r="A325" s="22" t="s">
        <v>162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>
        <v>1</v>
      </c>
      <c r="AG325" s="3"/>
      <c r="AH325" s="3"/>
      <c r="AI325" s="3">
        <v>2</v>
      </c>
      <c r="AJ325" s="3">
        <v>2</v>
      </c>
      <c r="AK325" s="3">
        <v>2</v>
      </c>
      <c r="AL325" s="3"/>
      <c r="AM325" s="3">
        <v>1</v>
      </c>
      <c r="AN325" s="3"/>
      <c r="AO325" s="3"/>
      <c r="AP325" s="3"/>
      <c r="AQ325" s="3"/>
      <c r="AR325" s="3"/>
      <c r="AS325" s="3"/>
      <c r="AT325" s="3"/>
      <c r="AU325" s="3"/>
      <c r="AV325" s="3"/>
      <c r="AW325" s="3">
        <v>1</v>
      </c>
      <c r="AX325" s="3"/>
      <c r="AY325" s="3"/>
    </row>
    <row r="326" spans="1:51" ht="13" x14ac:dyDescent="0.3">
      <c r="A326" s="22" t="s">
        <v>163</v>
      </c>
      <c r="B326" s="3">
        <v>2</v>
      </c>
      <c r="C326" s="3"/>
      <c r="D326" s="3"/>
      <c r="E326" s="3"/>
      <c r="F326" s="3"/>
      <c r="G326" s="3"/>
      <c r="H326" s="3"/>
      <c r="I326" s="3"/>
      <c r="J326" s="3">
        <v>1</v>
      </c>
      <c r="K326" s="3"/>
      <c r="L326" s="3"/>
      <c r="M326" s="3"/>
      <c r="N326" s="3"/>
      <c r="O326" s="3"/>
      <c r="P326" s="3"/>
      <c r="Q326" s="3">
        <v>1</v>
      </c>
      <c r="R326" s="3"/>
      <c r="S326" s="3"/>
      <c r="T326" s="3"/>
      <c r="U326" s="3"/>
      <c r="V326" s="3"/>
      <c r="W326" s="3"/>
      <c r="X326" s="3">
        <v>1</v>
      </c>
      <c r="Y326" s="3">
        <v>2</v>
      </c>
      <c r="Z326" s="3"/>
      <c r="AA326" s="3">
        <v>2</v>
      </c>
      <c r="AB326" s="3">
        <v>1</v>
      </c>
      <c r="AC326" s="3">
        <v>1</v>
      </c>
      <c r="AD326" s="3"/>
      <c r="AE326" s="3"/>
      <c r="AF326" s="3">
        <v>1</v>
      </c>
      <c r="AG326" s="3">
        <v>1</v>
      </c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</row>
    <row r="327" spans="1:51" ht="13" x14ac:dyDescent="0.3">
      <c r="A327" s="22" t="s">
        <v>164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>
        <v>2</v>
      </c>
      <c r="X327" s="3"/>
      <c r="Y327" s="3"/>
      <c r="Z327" s="3">
        <v>3</v>
      </c>
      <c r="AA327" s="3">
        <v>3</v>
      </c>
      <c r="AB327" s="3">
        <v>3</v>
      </c>
      <c r="AC327" s="3">
        <v>3</v>
      </c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</row>
    <row r="328" spans="1:51" ht="13" x14ac:dyDescent="0.3">
      <c r="A328" s="22" t="s">
        <v>165</v>
      </c>
      <c r="B328" s="3">
        <v>2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>
        <v>1</v>
      </c>
      <c r="Y328" s="3">
        <v>1</v>
      </c>
      <c r="Z328" s="3"/>
      <c r="AA328" s="3"/>
      <c r="AB328" s="3">
        <v>2</v>
      </c>
      <c r="AC328" s="3">
        <v>2</v>
      </c>
      <c r="AD328" s="3"/>
      <c r="AE328" s="3"/>
      <c r="AF328" s="3">
        <v>1</v>
      </c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</row>
    <row r="329" spans="1:51" ht="13" x14ac:dyDescent="0.3">
      <c r="A329" s="22" t="s">
        <v>429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>
        <v>4</v>
      </c>
      <c r="AF329" s="3"/>
      <c r="AG329" s="3"/>
      <c r="AH329" s="3"/>
      <c r="AI329" s="3">
        <v>4</v>
      </c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</row>
    <row r="330" spans="1:51" ht="13" x14ac:dyDescent="0.3">
      <c r="A330" s="22" t="s">
        <v>427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>
        <v>4</v>
      </c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</row>
    <row r="331" spans="1:51" ht="13" x14ac:dyDescent="0.3">
      <c r="A331" s="22" t="s">
        <v>348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>
        <v>1</v>
      </c>
      <c r="AS331" s="3"/>
      <c r="AT331" s="3">
        <v>1</v>
      </c>
      <c r="AU331" s="3"/>
      <c r="AV331" s="3"/>
      <c r="AW331" s="3"/>
      <c r="AX331" s="3"/>
      <c r="AY331" s="3"/>
    </row>
    <row r="332" spans="1:51" ht="13" x14ac:dyDescent="0.3">
      <c r="A332" s="22" t="s">
        <v>349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>
        <v>1</v>
      </c>
      <c r="AW332" s="3"/>
      <c r="AX332" s="3"/>
      <c r="AY332" s="3"/>
    </row>
    <row r="333" spans="1:51" ht="13" x14ac:dyDescent="0.3">
      <c r="A333" s="22" t="s">
        <v>350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>
        <v>1</v>
      </c>
      <c r="AX333" s="3"/>
      <c r="AY333" s="3"/>
    </row>
    <row r="334" spans="1:51" ht="13" x14ac:dyDescent="0.3">
      <c r="A334" s="22" t="s">
        <v>351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>
        <v>1</v>
      </c>
      <c r="AS334" s="3">
        <v>1</v>
      </c>
      <c r="AT334" s="3"/>
      <c r="AU334" s="3">
        <v>1</v>
      </c>
      <c r="AV334" s="3">
        <v>1</v>
      </c>
      <c r="AW334" s="3">
        <v>1</v>
      </c>
      <c r="AX334" s="3"/>
      <c r="AY334" s="3"/>
    </row>
    <row r="335" spans="1:51" ht="13" x14ac:dyDescent="0.3">
      <c r="A335" s="22" t="s">
        <v>352</v>
      </c>
      <c r="B335" s="3"/>
      <c r="C335" s="3"/>
      <c r="D335" s="3"/>
      <c r="E335" s="3"/>
      <c r="F335" s="3"/>
      <c r="G335" s="3"/>
      <c r="H335" s="3">
        <v>1</v>
      </c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</row>
    <row r="336" spans="1:51" ht="13" x14ac:dyDescent="0.3">
      <c r="A336" s="22" t="s">
        <v>353</v>
      </c>
      <c r="B336" s="3"/>
      <c r="C336" s="3"/>
      <c r="D336" s="3">
        <v>1</v>
      </c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</row>
    <row r="337" spans="1:51" ht="13" x14ac:dyDescent="0.3">
      <c r="A337" s="22" t="s">
        <v>354</v>
      </c>
      <c r="B337" s="3"/>
      <c r="C337" s="3"/>
      <c r="D337" s="3"/>
      <c r="E337" s="3"/>
      <c r="F337" s="3"/>
      <c r="G337" s="3"/>
      <c r="H337" s="3"/>
      <c r="I337" s="3"/>
      <c r="J337" s="3">
        <v>1</v>
      </c>
      <c r="K337" s="3"/>
      <c r="L337" s="3"/>
      <c r="M337" s="3"/>
      <c r="N337" s="3"/>
      <c r="O337" s="3"/>
      <c r="P337" s="3"/>
      <c r="Q337" s="3">
        <v>1</v>
      </c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>
        <v>1</v>
      </c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</row>
    <row r="338" spans="1:51" ht="13" x14ac:dyDescent="0.3">
      <c r="A338" s="22" t="s">
        <v>166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>
        <v>2</v>
      </c>
      <c r="R338" s="3"/>
      <c r="S338" s="3"/>
      <c r="T338" s="3"/>
      <c r="U338" s="3"/>
      <c r="V338" s="3"/>
      <c r="W338" s="3"/>
      <c r="X338" s="3">
        <v>1</v>
      </c>
      <c r="Y338" s="3">
        <v>1</v>
      </c>
      <c r="Z338" s="3"/>
      <c r="AA338" s="3"/>
      <c r="AB338" s="3">
        <v>1</v>
      </c>
      <c r="AC338" s="3">
        <v>1</v>
      </c>
      <c r="AD338" s="3"/>
      <c r="AE338" s="3">
        <v>3</v>
      </c>
      <c r="AF338" s="3">
        <v>3</v>
      </c>
      <c r="AG338" s="3">
        <v>3</v>
      </c>
      <c r="AH338" s="3"/>
      <c r="AI338" s="3">
        <v>3</v>
      </c>
      <c r="AJ338" s="3">
        <v>2</v>
      </c>
      <c r="AK338" s="3">
        <v>3</v>
      </c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</row>
    <row r="339" spans="1:51" ht="13" x14ac:dyDescent="0.3">
      <c r="A339" s="22" t="s">
        <v>355</v>
      </c>
      <c r="B339" s="3"/>
      <c r="C339" s="3"/>
      <c r="D339" s="3"/>
      <c r="E339" s="3"/>
      <c r="F339" s="3"/>
      <c r="G339" s="3"/>
      <c r="H339" s="3">
        <v>1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>
        <v>1</v>
      </c>
      <c r="AC339" s="3">
        <v>1</v>
      </c>
      <c r="AD339" s="3"/>
      <c r="AE339" s="3"/>
      <c r="AF339" s="3">
        <v>1</v>
      </c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>
        <v>1</v>
      </c>
      <c r="AU339" s="3"/>
      <c r="AV339" s="3"/>
      <c r="AW339" s="3"/>
      <c r="AX339" s="3"/>
      <c r="AY339" s="3"/>
    </row>
    <row r="340" spans="1:51" ht="13" x14ac:dyDescent="0.3">
      <c r="A340" s="22" t="s">
        <v>356</v>
      </c>
      <c r="B340" s="3"/>
      <c r="C340" s="3"/>
      <c r="D340" s="3">
        <v>1</v>
      </c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</row>
    <row r="341" spans="1:51" ht="13" x14ac:dyDescent="0.3">
      <c r="A341" s="22" t="s">
        <v>357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>
        <v>1</v>
      </c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>
        <v>1</v>
      </c>
      <c r="AW341" s="3"/>
      <c r="AX341" s="3"/>
      <c r="AY341" s="3"/>
    </row>
    <row r="342" spans="1:51" ht="13" x14ac:dyDescent="0.3">
      <c r="A342" s="22" t="s">
        <v>358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>
        <v>3</v>
      </c>
      <c r="AQ342" s="3">
        <v>3</v>
      </c>
      <c r="AR342" s="3">
        <v>3</v>
      </c>
      <c r="AS342" s="3">
        <v>3</v>
      </c>
      <c r="AT342" s="3">
        <v>3</v>
      </c>
      <c r="AU342" s="3">
        <v>1</v>
      </c>
      <c r="AV342" s="3">
        <v>3</v>
      </c>
      <c r="AW342" s="3"/>
      <c r="AX342" s="3"/>
      <c r="AY342" s="3">
        <v>3</v>
      </c>
    </row>
    <row r="343" spans="1:51" ht="13" x14ac:dyDescent="0.3">
      <c r="A343" s="22" t="s">
        <v>385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>
        <v>1</v>
      </c>
      <c r="AU343" s="3"/>
      <c r="AV343" s="3"/>
      <c r="AW343" s="3"/>
      <c r="AX343" s="3"/>
      <c r="AY343" s="3"/>
    </row>
    <row r="344" spans="1:51" ht="13" x14ac:dyDescent="0.3">
      <c r="A344" s="22" t="s">
        <v>359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>
        <v>4</v>
      </c>
      <c r="AS344" s="3"/>
      <c r="AT344" s="3"/>
      <c r="AU344" s="3"/>
      <c r="AV344" s="3"/>
      <c r="AW344" s="3"/>
      <c r="AX344" s="3"/>
      <c r="AY344" s="3"/>
    </row>
    <row r="345" spans="1:51" ht="13" x14ac:dyDescent="0.3">
      <c r="A345" s="22" t="s">
        <v>167</v>
      </c>
      <c r="B345" s="3">
        <v>2</v>
      </c>
      <c r="C345" s="3"/>
      <c r="D345" s="3"/>
      <c r="E345" s="3"/>
      <c r="F345" s="3"/>
      <c r="G345" s="3"/>
      <c r="H345" s="3"/>
      <c r="I345" s="3"/>
      <c r="J345" s="3">
        <v>1</v>
      </c>
      <c r="K345" s="3"/>
      <c r="L345" s="3"/>
      <c r="M345" s="3"/>
      <c r="N345" s="3">
        <v>1</v>
      </c>
      <c r="O345" s="3"/>
      <c r="P345" s="3"/>
      <c r="Q345" s="3">
        <v>1</v>
      </c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>
        <v>2</v>
      </c>
      <c r="AC345" s="3">
        <v>2</v>
      </c>
      <c r="AD345" s="3"/>
      <c r="AE345" s="3"/>
      <c r="AF345" s="3">
        <v>1</v>
      </c>
      <c r="AG345" s="3">
        <v>1</v>
      </c>
      <c r="AH345" s="3"/>
      <c r="AI345" s="3"/>
      <c r="AJ345" s="3"/>
      <c r="AK345" s="3"/>
      <c r="AL345" s="3"/>
      <c r="AM345" s="3"/>
      <c r="AN345" s="3"/>
      <c r="AO345" s="3"/>
      <c r="AP345" s="3">
        <v>1</v>
      </c>
      <c r="AQ345" s="3">
        <v>1</v>
      </c>
      <c r="AR345" s="3">
        <v>1</v>
      </c>
      <c r="AS345" s="3">
        <v>1</v>
      </c>
      <c r="AT345" s="3">
        <v>1</v>
      </c>
      <c r="AU345" s="3"/>
      <c r="AV345" s="3"/>
      <c r="AW345" s="3"/>
      <c r="AX345" s="3"/>
      <c r="AY345" s="3">
        <v>4</v>
      </c>
    </row>
    <row r="346" spans="1:51" ht="13" x14ac:dyDescent="0.3">
      <c r="A346" s="22" t="s">
        <v>360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>
        <v>1</v>
      </c>
      <c r="AQ346" s="3"/>
      <c r="AR346" s="3">
        <v>1</v>
      </c>
      <c r="AS346" s="3">
        <v>1</v>
      </c>
      <c r="AT346" s="3"/>
      <c r="AU346" s="3"/>
      <c r="AV346" s="3">
        <v>1</v>
      </c>
      <c r="AW346" s="3">
        <v>1</v>
      </c>
      <c r="AX346" s="3"/>
      <c r="AY346" s="3"/>
    </row>
    <row r="347" spans="1:51" ht="13" x14ac:dyDescent="0.3">
      <c r="A347" s="22" t="s">
        <v>361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4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>
        <v>3</v>
      </c>
      <c r="AF347" s="3">
        <v>3</v>
      </c>
      <c r="AG347" s="3"/>
      <c r="AH347" s="3"/>
      <c r="AI347" s="3">
        <v>3</v>
      </c>
      <c r="AJ347" s="3"/>
      <c r="AK347" s="3">
        <v>3</v>
      </c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</row>
    <row r="348" spans="1:51" ht="13" x14ac:dyDescent="0.3">
      <c r="A348" s="22" t="s">
        <v>381</v>
      </c>
      <c r="B348" s="3"/>
      <c r="C348" s="3"/>
      <c r="D348" s="3">
        <v>1</v>
      </c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</row>
    <row r="349" spans="1:51" ht="13" x14ac:dyDescent="0.3">
      <c r="A349" s="22" t="s">
        <v>382</v>
      </c>
      <c r="B349" s="3"/>
      <c r="C349" s="3"/>
      <c r="D349" s="3">
        <v>1</v>
      </c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</row>
    <row r="350" spans="1:51" ht="13" x14ac:dyDescent="0.3">
      <c r="A350" s="22" t="s">
        <v>362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>
        <v>2</v>
      </c>
      <c r="AA350" s="3">
        <v>3</v>
      </c>
      <c r="AB350" s="3">
        <v>2</v>
      </c>
      <c r="AC350" s="3">
        <v>2</v>
      </c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</row>
    <row r="351" spans="1:51" ht="13" x14ac:dyDescent="0.3">
      <c r="A351" s="22" t="s">
        <v>169</v>
      </c>
      <c r="B351" s="3"/>
      <c r="C351" s="3"/>
      <c r="D351" s="3"/>
      <c r="E351" s="3"/>
      <c r="F351" s="3"/>
      <c r="G351" s="3"/>
      <c r="H351" s="3"/>
      <c r="I351" s="3"/>
      <c r="J351" s="3">
        <v>1</v>
      </c>
      <c r="K351" s="3"/>
      <c r="L351" s="3"/>
      <c r="M351" s="3"/>
      <c r="N351" s="3"/>
      <c r="O351" s="3"/>
      <c r="P351" s="3"/>
      <c r="Q351" s="3">
        <v>1</v>
      </c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>
        <v>2</v>
      </c>
      <c r="AF351" s="3">
        <v>2</v>
      </c>
      <c r="AG351" s="3">
        <v>2</v>
      </c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</row>
    <row r="352" spans="1:51" ht="13" x14ac:dyDescent="0.3">
      <c r="A352" s="22" t="s">
        <v>363</v>
      </c>
      <c r="B352" s="3"/>
      <c r="C352" s="3"/>
      <c r="D352" s="3"/>
      <c r="E352" s="3"/>
      <c r="F352" s="3"/>
      <c r="G352" s="3"/>
      <c r="H352" s="3">
        <v>1</v>
      </c>
      <c r="I352" s="3"/>
      <c r="J352" s="3">
        <v>1</v>
      </c>
      <c r="K352" s="3"/>
      <c r="L352" s="3"/>
      <c r="M352" s="3"/>
      <c r="N352" s="3"/>
      <c r="O352" s="3"/>
      <c r="P352" s="3">
        <v>1</v>
      </c>
      <c r="Q352" s="3">
        <v>1</v>
      </c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>
        <v>1</v>
      </c>
      <c r="AH352" s="3"/>
      <c r="AI352" s="3"/>
      <c r="AJ352" s="3"/>
      <c r="AK352" s="3"/>
      <c r="AL352" s="3"/>
      <c r="AM352" s="3">
        <v>1</v>
      </c>
      <c r="AN352" s="3"/>
      <c r="AO352" s="3"/>
      <c r="AP352" s="3">
        <v>1</v>
      </c>
      <c r="AQ352" s="3">
        <v>1</v>
      </c>
      <c r="AR352" s="3">
        <v>1</v>
      </c>
      <c r="AS352" s="3">
        <v>1</v>
      </c>
      <c r="AT352" s="3">
        <v>1</v>
      </c>
      <c r="AU352" s="3"/>
      <c r="AV352" s="3"/>
      <c r="AW352" s="3"/>
      <c r="AX352" s="3"/>
      <c r="AY352" s="3"/>
    </row>
    <row r="353" spans="1:51" ht="13" x14ac:dyDescent="0.3">
      <c r="A353" s="22" t="s">
        <v>364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>
        <v>1</v>
      </c>
      <c r="AX353" s="3"/>
      <c r="AY353" s="3"/>
    </row>
    <row r="354" spans="1:51" ht="13" x14ac:dyDescent="0.3">
      <c r="A354" s="22" t="s">
        <v>365</v>
      </c>
      <c r="B354" s="3"/>
      <c r="C354" s="3"/>
      <c r="D354" s="3"/>
      <c r="E354" s="3"/>
      <c r="F354" s="3"/>
      <c r="G354" s="3"/>
      <c r="H354" s="3"/>
      <c r="I354" s="3"/>
      <c r="J354" s="3">
        <v>1</v>
      </c>
      <c r="K354" s="3"/>
      <c r="L354" s="3"/>
      <c r="M354" s="3"/>
      <c r="N354" s="3"/>
      <c r="O354" s="3"/>
      <c r="P354" s="3"/>
      <c r="Q354" s="3">
        <v>1</v>
      </c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>
        <v>1</v>
      </c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</row>
    <row r="355" spans="1:51" ht="13" x14ac:dyDescent="0.3">
      <c r="A355" s="22" t="s">
        <v>170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>
        <v>1</v>
      </c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>
        <v>3</v>
      </c>
      <c r="AF355" s="3">
        <v>2</v>
      </c>
      <c r="AG355" s="3">
        <v>2</v>
      </c>
      <c r="AH355" s="3"/>
      <c r="AI355" s="3">
        <v>3</v>
      </c>
      <c r="AJ355" s="3">
        <v>2</v>
      </c>
      <c r="AK355" s="3">
        <v>2</v>
      </c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</row>
    <row r="356" spans="1:51" ht="13" x14ac:dyDescent="0.3">
      <c r="A356" s="22" t="s">
        <v>366</v>
      </c>
      <c r="B356" s="3">
        <v>1</v>
      </c>
      <c r="C356" s="3"/>
      <c r="D356" s="3"/>
      <c r="E356" s="3"/>
      <c r="F356" s="3"/>
      <c r="G356" s="3"/>
      <c r="H356" s="3"/>
      <c r="I356" s="3"/>
      <c r="J356" s="3">
        <v>1</v>
      </c>
      <c r="K356" s="3"/>
      <c r="L356" s="3"/>
      <c r="M356" s="3"/>
      <c r="N356" s="3"/>
      <c r="O356" s="3"/>
      <c r="P356" s="3"/>
      <c r="Q356" s="3">
        <v>1</v>
      </c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>
        <v>1</v>
      </c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</row>
    <row r="357" spans="1:51" ht="13" x14ac:dyDescent="0.3">
      <c r="A357" s="22" t="s">
        <v>395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>
        <v>1</v>
      </c>
      <c r="AS357" s="3"/>
      <c r="AT357" s="3"/>
      <c r="AU357" s="3"/>
      <c r="AV357" s="3"/>
      <c r="AW357" s="3"/>
      <c r="AX357" s="3"/>
      <c r="AY357" s="3"/>
    </row>
    <row r="358" spans="1:51" ht="13" x14ac:dyDescent="0.3">
      <c r="A358" s="22" t="s">
        <v>373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>
        <v>1</v>
      </c>
      <c r="AW358" s="3">
        <v>4</v>
      </c>
      <c r="AX358" s="3"/>
      <c r="AY358" s="3"/>
    </row>
    <row r="359" spans="1:51" ht="13" x14ac:dyDescent="0.3">
      <c r="A359" s="22" t="s">
        <v>368</v>
      </c>
      <c r="B359" s="3">
        <v>1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>
        <v>1</v>
      </c>
      <c r="Y359" s="3">
        <v>1</v>
      </c>
      <c r="Z359" s="3"/>
      <c r="AA359" s="3"/>
      <c r="AB359" s="3">
        <v>1</v>
      </c>
      <c r="AC359" s="3">
        <v>1</v>
      </c>
      <c r="AD359" s="3"/>
      <c r="AE359" s="3"/>
      <c r="AF359" s="3">
        <v>1</v>
      </c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</row>
    <row r="360" spans="1:51" ht="13" x14ac:dyDescent="0.3">
      <c r="A360" s="22" t="s">
        <v>172</v>
      </c>
      <c r="B360" s="3"/>
      <c r="C360" s="3"/>
      <c r="D360" s="3"/>
      <c r="E360" s="3"/>
      <c r="F360" s="3"/>
      <c r="G360" s="3">
        <v>4</v>
      </c>
      <c r="H360" s="3"/>
      <c r="I360" s="3">
        <v>1</v>
      </c>
      <c r="J360" s="3"/>
      <c r="K360" s="3"/>
      <c r="L360" s="3"/>
      <c r="M360" s="3"/>
      <c r="N360" s="3"/>
      <c r="O360" s="3"/>
      <c r="P360" s="3"/>
      <c r="Q360" s="3"/>
      <c r="R360" s="3">
        <v>3</v>
      </c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</row>
    <row r="361" spans="1:51" ht="13" x14ac:dyDescent="0.3">
      <c r="A361" s="22" t="s">
        <v>173</v>
      </c>
      <c r="B361" s="3"/>
      <c r="C361" s="3"/>
      <c r="D361" s="3"/>
      <c r="E361" s="3"/>
      <c r="F361" s="3"/>
      <c r="G361" s="3">
        <v>1</v>
      </c>
      <c r="H361" s="3"/>
      <c r="I361" s="3">
        <v>1</v>
      </c>
      <c r="J361" s="3"/>
      <c r="K361" s="3"/>
      <c r="L361" s="3"/>
      <c r="M361" s="3"/>
      <c r="N361" s="3"/>
      <c r="O361" s="3"/>
      <c r="P361" s="3"/>
      <c r="Q361" s="3"/>
      <c r="R361" s="3">
        <v>3</v>
      </c>
      <c r="S361" s="3"/>
      <c r="T361" s="3"/>
      <c r="U361" s="3"/>
      <c r="V361" s="3"/>
      <c r="W361" s="3"/>
      <c r="X361" s="3"/>
      <c r="Y361" s="3"/>
      <c r="Z361" s="3"/>
      <c r="AA361" s="3"/>
      <c r="AB361" s="3">
        <v>2</v>
      </c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>
        <v>4</v>
      </c>
      <c r="AS361" s="3"/>
      <c r="AT361" s="3"/>
      <c r="AU361" s="3"/>
      <c r="AV361" s="3"/>
      <c r="AW361" s="3"/>
      <c r="AX361" s="3"/>
      <c r="AY361" s="3"/>
    </row>
    <row r="362" spans="1:51" ht="13" x14ac:dyDescent="0.3">
      <c r="A362" s="22" t="s">
        <v>174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>
        <v>1</v>
      </c>
      <c r="Y362" s="3">
        <v>3</v>
      </c>
      <c r="Z362" s="3">
        <v>1</v>
      </c>
      <c r="AA362" s="3">
        <v>1</v>
      </c>
      <c r="AB362" s="3">
        <v>3</v>
      </c>
      <c r="AC362" s="3">
        <v>3</v>
      </c>
      <c r="AD362" s="3"/>
      <c r="AE362" s="3"/>
      <c r="AF362" s="3">
        <v>1</v>
      </c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</row>
    <row r="363" spans="1:51" ht="13" x14ac:dyDescent="0.3">
      <c r="A363" s="22" t="s">
        <v>449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>
        <v>4</v>
      </c>
      <c r="AC363" s="3">
        <v>4</v>
      </c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</row>
    <row r="364" spans="1:51" ht="13" x14ac:dyDescent="0.3">
      <c r="A364" s="22" t="s">
        <v>369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>
        <v>1</v>
      </c>
      <c r="AT364" s="3"/>
      <c r="AU364" s="3">
        <v>1</v>
      </c>
      <c r="AV364" s="3"/>
      <c r="AW364" s="3">
        <v>1</v>
      </c>
      <c r="AX364" s="3"/>
      <c r="AY364" s="3"/>
    </row>
    <row r="365" spans="1:51" ht="13" x14ac:dyDescent="0.3">
      <c r="A365" s="22" t="s">
        <v>423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>
        <v>4</v>
      </c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</row>
    <row r="366" spans="1:51" ht="13" x14ac:dyDescent="0.3">
      <c r="A366" s="22" t="s">
        <v>370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>
        <v>1</v>
      </c>
      <c r="AQ366" s="3"/>
      <c r="AR366" s="3">
        <v>1</v>
      </c>
      <c r="AS366" s="3"/>
      <c r="AT366" s="3"/>
      <c r="AU366" s="3"/>
      <c r="AV366" s="3"/>
      <c r="AW366" s="3"/>
      <c r="AX366" s="3"/>
      <c r="AY366" s="3"/>
    </row>
    <row r="367" spans="1:51" ht="13" x14ac:dyDescent="0.3">
      <c r="A367" s="22" t="s">
        <v>371</v>
      </c>
      <c r="B367" s="3"/>
      <c r="C367" s="3"/>
      <c r="D367" s="3"/>
      <c r="E367" s="3"/>
      <c r="F367" s="3"/>
      <c r="G367" s="3"/>
      <c r="H367" s="3"/>
      <c r="I367" s="3"/>
      <c r="J367" s="3"/>
      <c r="K367" s="3">
        <v>1</v>
      </c>
      <c r="L367" s="3"/>
      <c r="M367" s="3"/>
      <c r="N367" s="3">
        <v>1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>
        <v>1</v>
      </c>
      <c r="AC367" s="3">
        <v>1</v>
      </c>
      <c r="AD367" s="3">
        <v>1</v>
      </c>
      <c r="AE367" s="3"/>
      <c r="AF367" s="3">
        <v>1</v>
      </c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</row>
    <row r="370" spans="1:52" ht="13" x14ac:dyDescent="0.3">
      <c r="B370" s="14"/>
      <c r="C370" s="14"/>
      <c r="D370" s="14"/>
      <c r="E370" s="14"/>
      <c r="R370" s="15"/>
    </row>
    <row r="371" spans="1:52" ht="13" x14ac:dyDescent="0.25">
      <c r="A371" s="10" t="s">
        <v>32</v>
      </c>
    </row>
    <row r="372" spans="1:52" ht="13" x14ac:dyDescent="0.3">
      <c r="A372" s="5"/>
    </row>
    <row r="373" spans="1:52" ht="13" x14ac:dyDescent="0.3">
      <c r="A373" s="6" t="s">
        <v>35</v>
      </c>
      <c r="B373" s="1" t="s">
        <v>36</v>
      </c>
    </row>
    <row r="374" spans="1:52" ht="13" x14ac:dyDescent="0.3">
      <c r="A374" s="5"/>
    </row>
    <row r="375" spans="1:52" ht="13" x14ac:dyDescent="0.3">
      <c r="A375" s="7" t="s">
        <v>35</v>
      </c>
      <c r="B375" s="1" t="s">
        <v>39</v>
      </c>
    </row>
    <row r="376" spans="1:52" ht="13" x14ac:dyDescent="0.3">
      <c r="A376" s="5"/>
    </row>
    <row r="377" spans="1:52" ht="13" x14ac:dyDescent="0.3">
      <c r="A377" s="9" t="s">
        <v>42</v>
      </c>
      <c r="B377" s="37" t="s">
        <v>43</v>
      </c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spans="1:52" ht="13" x14ac:dyDescent="0.3">
      <c r="A378" s="5"/>
    </row>
    <row r="379" spans="1:52" ht="13" x14ac:dyDescent="0.3">
      <c r="A379" s="13" t="s">
        <v>46</v>
      </c>
      <c r="B379" s="1" t="s">
        <v>47</v>
      </c>
    </row>
    <row r="393" spans="1:51" ht="13" x14ac:dyDescent="0.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</row>
    <row r="394" spans="1:51" ht="13" x14ac:dyDescent="0.3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</row>
    <row r="395" spans="1:51" ht="13" x14ac:dyDescent="0.3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</row>
    <row r="396" spans="1:51" ht="13" x14ac:dyDescent="0.3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</row>
  </sheetData>
  <autoFilter ref="A3:AY368" xr:uid="{76DE0837-F9FF-4008-9207-D74B5B1CD4E5}">
    <filterColumn colId="43">
      <customFilters>
        <customFilter operator="notEqual" val=" "/>
      </customFilters>
    </filterColumn>
    <sortState xmlns:xlrd2="http://schemas.microsoft.com/office/spreadsheetml/2017/richdata2" ref="A4:AY368">
      <sortCondition ref="A3:A368"/>
    </sortState>
  </autoFilter>
  <mergeCells count="3">
    <mergeCell ref="A1:AY1"/>
    <mergeCell ref="A2:AY2"/>
    <mergeCell ref="B377:AZ377"/>
  </mergeCells>
  <conditionalFormatting sqref="B4:AY367 B393:AY396">
    <cfRule type="cellIs" dxfId="7" priority="98" operator="equal">
      <formula>4</formula>
    </cfRule>
    <cfRule type="cellIs" dxfId="6" priority="114" operator="equal">
      <formula>3</formula>
    </cfRule>
    <cfRule type="cellIs" dxfId="5" priority="115" operator="equal">
      <formula>2</formula>
    </cfRule>
    <cfRule type="cellIs" dxfId="4" priority="116" operator="equal">
      <formula>1</formula>
    </cfRule>
  </conditionalFormatting>
  <pageMargins left="0.70866141732283472" right="0.70866141732283472" top="0.98425196850393704" bottom="1.1811023622047245" header="0.31496062992125984" footer="0.31496062992125984"/>
  <pageSetup scale="60" fitToHeight="0" orientation="landscape" r:id="rId1"/>
  <headerFooter>
    <oddHeader xml:space="preserve">&amp;L&amp;10&amp;G&amp;R&amp;"Arial,Negrita"DOC ID:&amp;"Arial,Normal" TPL-708
&amp;"Arial,Negrita" Version:&amp;"Arial,Normal" 4&amp;"-,Normal"
</oddHeader>
    <oddFooter>&amp;LTPL-708 [4]
&amp;C&amp;G
Versión: 2.85
Fecha: 19-Ene-2026&amp;R&amp;P de &amp;N</oddFooter>
  </headerFooter>
  <legacy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826C-DA64-47E2-B71C-CF95E3810D4D}">
  <dimension ref="A1:GW254"/>
  <sheetViews>
    <sheetView workbookViewId="0">
      <selection activeCell="BE8" sqref="BE8"/>
    </sheetView>
  </sheetViews>
  <sheetFormatPr defaultColWidth="5.54296875" defaultRowHeight="14.5" x14ac:dyDescent="0.35"/>
  <cols>
    <col min="1" max="1" width="21" style="1" customWidth="1"/>
    <col min="2" max="2" width="19" customWidth="1"/>
    <col min="3" max="49" width="5.54296875" customWidth="1"/>
  </cols>
  <sheetData>
    <row r="1" spans="1:51" s="1" customFormat="1" ht="13" x14ac:dyDescent="0.3">
      <c r="A1" s="1" t="s">
        <v>209</v>
      </c>
      <c r="B1" s="23" t="s">
        <v>209</v>
      </c>
      <c r="C1" s="20">
        <v>3</v>
      </c>
      <c r="D1" s="20">
        <v>3</v>
      </c>
      <c r="E1" s="20">
        <v>3</v>
      </c>
      <c r="F1" s="20">
        <v>3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>
        <v>1</v>
      </c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1">
        <f>(COUNTIF($C$1:$AW$254,4))</f>
        <v>77</v>
      </c>
    </row>
    <row r="2" spans="1:51" s="1" customFormat="1" ht="13" x14ac:dyDescent="0.3">
      <c r="A2" s="1" t="s">
        <v>31</v>
      </c>
      <c r="B2" s="23" t="s">
        <v>31</v>
      </c>
      <c r="C2" s="20"/>
      <c r="D2" s="20"/>
      <c r="E2" s="20"/>
      <c r="F2" s="20"/>
      <c r="G2" s="3"/>
      <c r="H2" s="3"/>
      <c r="I2" s="3"/>
      <c r="J2" s="3"/>
      <c r="K2" s="3"/>
      <c r="L2" s="3"/>
      <c r="M2" s="3"/>
      <c r="N2" s="3"/>
      <c r="O2" s="3">
        <v>4</v>
      </c>
      <c r="P2" s="3"/>
      <c r="Q2" s="3"/>
      <c r="R2" s="3"/>
      <c r="S2" s="3">
        <v>3</v>
      </c>
      <c r="T2" s="3">
        <v>3</v>
      </c>
      <c r="U2" s="3"/>
      <c r="V2" s="3"/>
      <c r="W2" s="3"/>
      <c r="X2" s="3">
        <v>1</v>
      </c>
      <c r="Y2" s="3"/>
      <c r="Z2" s="3">
        <v>1</v>
      </c>
      <c r="AA2" s="3">
        <v>4</v>
      </c>
      <c r="AB2" s="3">
        <v>4</v>
      </c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>
        <v>1</v>
      </c>
      <c r="AQ2" s="3">
        <v>1</v>
      </c>
      <c r="AR2" s="3"/>
      <c r="AS2" s="3"/>
      <c r="AT2" s="3"/>
      <c r="AU2" s="3"/>
      <c r="AV2" s="3"/>
      <c r="AW2" s="3"/>
      <c r="AX2" s="1">
        <f>(COUNTIF($C$1:$AW$254,1))</f>
        <v>634</v>
      </c>
      <c r="AY2" s="1">
        <f>AX2-669</f>
        <v>-35</v>
      </c>
    </row>
    <row r="3" spans="1:51" s="1" customFormat="1" ht="15.5" x14ac:dyDescent="0.3">
      <c r="A3" s="27" t="s">
        <v>210</v>
      </c>
      <c r="B3" s="23" t="s">
        <v>210</v>
      </c>
      <c r="C3" s="20"/>
      <c r="D3" s="20"/>
      <c r="E3" s="20"/>
      <c r="F3" s="20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>
        <v>1</v>
      </c>
      <c r="AV3" s="3"/>
      <c r="AW3" s="3"/>
      <c r="AX3" s="1">
        <f>(COUNTIF($C$1:$AW$254,3))</f>
        <v>298</v>
      </c>
      <c r="AY3" s="1">
        <f>AX3-306</f>
        <v>-8</v>
      </c>
    </row>
    <row r="4" spans="1:51" s="1" customFormat="1" ht="13" x14ac:dyDescent="0.3">
      <c r="A4" s="28" t="s">
        <v>211</v>
      </c>
      <c r="B4" s="23" t="s">
        <v>211</v>
      </c>
      <c r="C4" s="20"/>
      <c r="D4" s="20"/>
      <c r="E4" s="20"/>
      <c r="F4" s="20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1</v>
      </c>
      <c r="AQ4" s="3"/>
      <c r="AR4" s="3"/>
      <c r="AS4" s="3"/>
      <c r="AT4" s="3"/>
      <c r="AU4" s="3"/>
      <c r="AV4" s="3"/>
      <c r="AW4" s="3"/>
    </row>
    <row r="5" spans="1:51" s="1" customFormat="1" ht="13" x14ac:dyDescent="0.3">
      <c r="A5" s="28" t="s">
        <v>212</v>
      </c>
      <c r="B5" s="23" t="s">
        <v>212</v>
      </c>
      <c r="C5" s="20"/>
      <c r="D5" s="20"/>
      <c r="E5" s="20"/>
      <c r="F5" s="20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>
        <v>1</v>
      </c>
      <c r="AO5" s="3"/>
      <c r="AP5" s="3">
        <v>1</v>
      </c>
      <c r="AQ5" s="3">
        <v>1</v>
      </c>
      <c r="AR5" s="3">
        <v>1</v>
      </c>
      <c r="AS5" s="3"/>
      <c r="AT5" s="3">
        <v>1</v>
      </c>
      <c r="AU5" s="3"/>
      <c r="AV5" s="3"/>
      <c r="AW5" s="3"/>
    </row>
    <row r="6" spans="1:51" s="1" customFormat="1" ht="13" x14ac:dyDescent="0.3">
      <c r="A6" s="28" t="s">
        <v>213</v>
      </c>
      <c r="B6" s="23" t="s">
        <v>213</v>
      </c>
      <c r="C6" s="20"/>
      <c r="D6" s="20"/>
      <c r="E6" s="20"/>
      <c r="F6" s="20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>
        <v>4</v>
      </c>
      <c r="AB6" s="3">
        <v>4</v>
      </c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</row>
    <row r="7" spans="1:51" s="1" customFormat="1" ht="13" x14ac:dyDescent="0.3">
      <c r="A7" s="28" t="s">
        <v>214</v>
      </c>
      <c r="B7" s="23" t="s">
        <v>214</v>
      </c>
      <c r="C7" s="20"/>
      <c r="D7" s="20"/>
      <c r="E7" s="20"/>
      <c r="F7" s="20"/>
      <c r="G7" s="3"/>
      <c r="H7" s="3"/>
      <c r="I7" s="3"/>
      <c r="J7" s="3"/>
      <c r="K7" s="3"/>
      <c r="L7" s="3"/>
      <c r="M7" s="3"/>
      <c r="N7" s="3"/>
      <c r="O7" s="3"/>
      <c r="P7" s="3"/>
      <c r="Q7" s="3">
        <v>4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>
        <v>1</v>
      </c>
      <c r="AQ7" s="3"/>
      <c r="AR7" s="3"/>
      <c r="AS7" s="3"/>
      <c r="AT7" s="3"/>
      <c r="AU7" s="3"/>
      <c r="AV7" s="3"/>
      <c r="AW7" s="3"/>
    </row>
    <row r="8" spans="1:51" s="1" customFormat="1" ht="13" x14ac:dyDescent="0.3">
      <c r="A8" s="28" t="s">
        <v>215</v>
      </c>
      <c r="B8" s="23" t="s">
        <v>215</v>
      </c>
      <c r="C8" s="20"/>
      <c r="D8" s="20"/>
      <c r="E8" s="20"/>
      <c r="F8" s="20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>
        <v>4</v>
      </c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</row>
    <row r="9" spans="1:51" s="1" customFormat="1" ht="13" x14ac:dyDescent="0.3">
      <c r="A9" s="28" t="s">
        <v>34</v>
      </c>
      <c r="B9" s="23" t="s">
        <v>34</v>
      </c>
      <c r="C9" s="20">
        <v>3</v>
      </c>
      <c r="D9" s="20"/>
      <c r="E9" s="20"/>
      <c r="F9" s="20"/>
      <c r="G9" s="3"/>
      <c r="H9" s="3"/>
      <c r="I9" s="3"/>
      <c r="J9" s="3"/>
      <c r="K9" s="3">
        <v>1</v>
      </c>
      <c r="L9" s="3"/>
      <c r="M9" s="3"/>
      <c r="N9" s="3"/>
      <c r="O9" s="3"/>
      <c r="P9" s="3">
        <v>1</v>
      </c>
      <c r="Q9" s="3"/>
      <c r="R9" s="3"/>
      <c r="S9" s="3"/>
      <c r="T9" s="3"/>
      <c r="U9" s="3"/>
      <c r="V9" s="3"/>
      <c r="W9" s="3">
        <v>4</v>
      </c>
      <c r="X9" s="3">
        <v>2</v>
      </c>
      <c r="Y9" s="3"/>
      <c r="Z9" s="3">
        <v>2</v>
      </c>
      <c r="AA9" s="3"/>
      <c r="AB9" s="3"/>
      <c r="AC9" s="3"/>
      <c r="AD9" s="3"/>
      <c r="AE9" s="3"/>
      <c r="AF9" s="3">
        <v>1</v>
      </c>
      <c r="AG9" s="3"/>
      <c r="AH9" s="3"/>
      <c r="AI9" s="3"/>
      <c r="AJ9" s="3"/>
      <c r="AK9" s="3"/>
      <c r="AL9" s="3">
        <v>1</v>
      </c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</row>
    <row r="10" spans="1:51" s="1" customFormat="1" ht="13" x14ac:dyDescent="0.3">
      <c r="A10" s="28" t="s">
        <v>218</v>
      </c>
      <c r="B10" s="23" t="s">
        <v>218</v>
      </c>
      <c r="C10" s="20"/>
      <c r="D10" s="20"/>
      <c r="E10" s="20"/>
      <c r="F10" s="20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>
        <v>1</v>
      </c>
      <c r="AQ10" s="3"/>
      <c r="AR10" s="3"/>
      <c r="AS10" s="3"/>
      <c r="AT10" s="3"/>
      <c r="AU10" s="3">
        <v>1</v>
      </c>
      <c r="AV10" s="3"/>
      <c r="AW10" s="3"/>
    </row>
    <row r="11" spans="1:51" s="1" customFormat="1" ht="13" x14ac:dyDescent="0.3">
      <c r="A11" s="28" t="s">
        <v>37</v>
      </c>
      <c r="B11" s="23" t="s">
        <v>37</v>
      </c>
      <c r="C11" s="20"/>
      <c r="D11" s="20"/>
      <c r="E11" s="20"/>
      <c r="F11" s="20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1</v>
      </c>
      <c r="V11" s="3"/>
      <c r="W11" s="3"/>
      <c r="X11" s="3"/>
      <c r="Y11" s="3">
        <v>3</v>
      </c>
      <c r="Z11" s="3">
        <v>3</v>
      </c>
      <c r="AA11" s="3">
        <v>3</v>
      </c>
      <c r="AB11" s="3">
        <v>3</v>
      </c>
      <c r="AC11" s="3"/>
      <c r="AD11" s="3"/>
      <c r="AE11" s="3">
        <v>2</v>
      </c>
      <c r="AF11" s="3"/>
      <c r="AG11" s="3"/>
      <c r="AH11" s="3"/>
      <c r="AI11" s="3">
        <v>2</v>
      </c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</row>
    <row r="12" spans="1:51" s="1" customFormat="1" ht="13" x14ac:dyDescent="0.3">
      <c r="A12" s="28" t="s">
        <v>219</v>
      </c>
      <c r="B12" s="23" t="s">
        <v>219</v>
      </c>
      <c r="C12" s="20">
        <v>1</v>
      </c>
      <c r="D12" s="20"/>
      <c r="E12" s="20"/>
      <c r="F12" s="20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>
        <v>1</v>
      </c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</row>
    <row r="13" spans="1:51" s="1" customFormat="1" ht="13" x14ac:dyDescent="0.3">
      <c r="A13" s="28" t="s">
        <v>221</v>
      </c>
      <c r="B13" s="23" t="s">
        <v>221</v>
      </c>
      <c r="C13" s="20"/>
      <c r="D13" s="20"/>
      <c r="E13" s="20"/>
      <c r="F13" s="20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>
        <v>1</v>
      </c>
      <c r="AV13" s="3"/>
      <c r="AW13" s="3"/>
    </row>
    <row r="14" spans="1:51" s="1" customFormat="1" ht="13" x14ac:dyDescent="0.3">
      <c r="A14" s="28" t="s">
        <v>38</v>
      </c>
      <c r="B14" s="23" t="s">
        <v>38</v>
      </c>
      <c r="C14" s="20">
        <v>1</v>
      </c>
      <c r="D14" s="20"/>
      <c r="E14" s="20"/>
      <c r="F14" s="20"/>
      <c r="G14" s="3"/>
      <c r="H14" s="3"/>
      <c r="I14" s="3"/>
      <c r="J14" s="3"/>
      <c r="K14" s="3">
        <v>3</v>
      </c>
      <c r="L14" s="3"/>
      <c r="M14" s="3"/>
      <c r="N14" s="3"/>
      <c r="O14" s="3"/>
      <c r="P14" s="3">
        <v>3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>
        <v>2</v>
      </c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</row>
    <row r="15" spans="1:51" s="1" customFormat="1" ht="13" x14ac:dyDescent="0.3">
      <c r="A15" s="28" t="s">
        <v>222</v>
      </c>
      <c r="B15" s="23" t="s">
        <v>222</v>
      </c>
      <c r="C15" s="20"/>
      <c r="D15" s="20"/>
      <c r="E15" s="20"/>
      <c r="F15" s="20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>
        <v>1</v>
      </c>
      <c r="AV15" s="3"/>
      <c r="AW15" s="3"/>
    </row>
    <row r="16" spans="1:51" s="1" customFormat="1" ht="13" x14ac:dyDescent="0.3">
      <c r="A16" s="28" t="s">
        <v>223</v>
      </c>
      <c r="B16" s="23" t="s">
        <v>223</v>
      </c>
      <c r="C16" s="20"/>
      <c r="D16" s="20"/>
      <c r="E16" s="20"/>
      <c r="F16" s="20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>
        <v>1</v>
      </c>
      <c r="AO16" s="3"/>
      <c r="AP16" s="3"/>
      <c r="AQ16" s="3"/>
      <c r="AR16" s="3">
        <v>1</v>
      </c>
      <c r="AS16" s="3"/>
      <c r="AT16" s="3"/>
      <c r="AU16" s="3"/>
      <c r="AV16" s="3"/>
      <c r="AW16" s="3"/>
    </row>
    <row r="17" spans="1:49" s="1" customFormat="1" ht="13" x14ac:dyDescent="0.3">
      <c r="A17" s="28" t="s">
        <v>224</v>
      </c>
      <c r="B17" s="23" t="s">
        <v>224</v>
      </c>
      <c r="C17" s="20">
        <v>3</v>
      </c>
      <c r="D17" s="20">
        <v>3</v>
      </c>
      <c r="E17" s="20"/>
      <c r="F17" s="20">
        <v>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>
        <v>1</v>
      </c>
      <c r="AO17" s="3"/>
      <c r="AP17" s="3"/>
      <c r="AQ17" s="3"/>
      <c r="AR17" s="3"/>
      <c r="AS17" s="3"/>
      <c r="AT17" s="3"/>
      <c r="AU17" s="3"/>
      <c r="AV17" s="3"/>
      <c r="AW17" s="3"/>
    </row>
    <row r="18" spans="1:49" s="1" customFormat="1" ht="13" x14ac:dyDescent="0.3">
      <c r="A18" s="28" t="s">
        <v>225</v>
      </c>
      <c r="B18" s="23" t="s">
        <v>225</v>
      </c>
      <c r="C18" s="20"/>
      <c r="D18" s="20"/>
      <c r="E18" s="20"/>
      <c r="F18" s="20"/>
      <c r="G18" s="3"/>
      <c r="H18" s="3"/>
      <c r="I18" s="3"/>
      <c r="J18" s="3"/>
      <c r="K18" s="3">
        <v>1</v>
      </c>
      <c r="L18" s="3"/>
      <c r="M18" s="3"/>
      <c r="N18" s="3"/>
      <c r="O18" s="3"/>
      <c r="P18" s="3">
        <v>1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>
        <v>1</v>
      </c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</row>
    <row r="19" spans="1:49" s="1" customFormat="1" ht="13" x14ac:dyDescent="0.3">
      <c r="A19" s="28" t="s">
        <v>226</v>
      </c>
      <c r="B19" s="23" t="s">
        <v>226</v>
      </c>
      <c r="C19" s="20"/>
      <c r="D19" s="20"/>
      <c r="E19" s="20"/>
      <c r="F19" s="20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1</v>
      </c>
      <c r="AK19" s="3"/>
      <c r="AL19" s="3">
        <v>1</v>
      </c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</row>
    <row r="20" spans="1:49" s="1" customFormat="1" ht="13" x14ac:dyDescent="0.3">
      <c r="A20" s="28" t="s">
        <v>44</v>
      </c>
      <c r="B20" s="23" t="s">
        <v>44</v>
      </c>
      <c r="C20" s="20"/>
      <c r="D20" s="20"/>
      <c r="E20" s="20"/>
      <c r="F20" s="20"/>
      <c r="G20" s="3"/>
      <c r="H20" s="3"/>
      <c r="I20" s="3">
        <v>1</v>
      </c>
      <c r="J20" s="3"/>
      <c r="K20" s="3">
        <v>3</v>
      </c>
      <c r="L20" s="3"/>
      <c r="M20" s="3">
        <v>1</v>
      </c>
      <c r="N20" s="3"/>
      <c r="O20" s="3"/>
      <c r="P20" s="3">
        <v>3</v>
      </c>
      <c r="Q20" s="3"/>
      <c r="R20" s="3"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>
        <v>1</v>
      </c>
      <c r="AD20" s="3"/>
      <c r="AE20" s="3"/>
      <c r="AF20" s="3">
        <v>2</v>
      </c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</row>
    <row r="21" spans="1:49" s="1" customFormat="1" ht="13" x14ac:dyDescent="0.3">
      <c r="A21" s="28" t="s">
        <v>227</v>
      </c>
      <c r="B21" s="23" t="s">
        <v>227</v>
      </c>
      <c r="C21" s="20"/>
      <c r="D21" s="20"/>
      <c r="E21" s="20"/>
      <c r="F21" s="20"/>
      <c r="G21" s="3"/>
      <c r="H21" s="3"/>
      <c r="I21" s="3"/>
      <c r="J21" s="3"/>
      <c r="K21" s="3">
        <v>1</v>
      </c>
      <c r="L21" s="3"/>
      <c r="M21" s="3"/>
      <c r="N21" s="3"/>
      <c r="O21" s="3"/>
      <c r="P21" s="3">
        <v>1</v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>
        <v>1</v>
      </c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</row>
    <row r="22" spans="1:49" s="1" customFormat="1" ht="13" x14ac:dyDescent="0.3">
      <c r="A22" s="28" t="s">
        <v>230</v>
      </c>
      <c r="B22" s="23" t="s">
        <v>230</v>
      </c>
      <c r="C22" s="20"/>
      <c r="D22" s="20"/>
      <c r="E22" s="20"/>
      <c r="F22" s="20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>
        <v>1</v>
      </c>
      <c r="AR22" s="3"/>
      <c r="AS22" s="3"/>
      <c r="AT22" s="3"/>
      <c r="AU22" s="3">
        <v>1</v>
      </c>
      <c r="AV22" s="3"/>
      <c r="AW22" s="3"/>
    </row>
    <row r="23" spans="1:49" s="1" customFormat="1" ht="13" x14ac:dyDescent="0.3">
      <c r="A23" s="28" t="s">
        <v>48</v>
      </c>
      <c r="B23" s="23" t="s">
        <v>48</v>
      </c>
      <c r="C23" s="20"/>
      <c r="D23" s="20"/>
      <c r="E23" s="20"/>
      <c r="F23" s="20"/>
      <c r="G23" s="3"/>
      <c r="H23" s="3"/>
      <c r="I23" s="3"/>
      <c r="J23" s="3"/>
      <c r="K23" s="3">
        <v>1</v>
      </c>
      <c r="L23" s="3"/>
      <c r="M23" s="3"/>
      <c r="N23" s="3"/>
      <c r="O23" s="3"/>
      <c r="P23" s="3">
        <v>1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>
        <v>1</v>
      </c>
      <c r="AB23" s="3">
        <v>1</v>
      </c>
      <c r="AC23" s="3"/>
      <c r="AD23" s="3"/>
      <c r="AE23" s="3">
        <v>1</v>
      </c>
      <c r="AF23" s="3">
        <v>1</v>
      </c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</row>
    <row r="24" spans="1:49" s="1" customFormat="1" ht="13" x14ac:dyDescent="0.3">
      <c r="A24" s="28" t="s">
        <v>231</v>
      </c>
      <c r="B24" s="23" t="s">
        <v>231</v>
      </c>
      <c r="C24" s="20"/>
      <c r="D24" s="20"/>
      <c r="E24" s="20"/>
      <c r="F24" s="20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>
        <v>1</v>
      </c>
      <c r="AO24" s="3"/>
      <c r="AP24" s="3"/>
      <c r="AQ24" s="3"/>
      <c r="AR24" s="3"/>
      <c r="AS24" s="3"/>
      <c r="AT24" s="3"/>
      <c r="AU24" s="3"/>
      <c r="AV24" s="3"/>
      <c r="AW24" s="3"/>
    </row>
    <row r="25" spans="1:49" s="1" customFormat="1" ht="13" x14ac:dyDescent="0.3">
      <c r="A25" s="28" t="s">
        <v>49</v>
      </c>
      <c r="B25" s="23" t="s">
        <v>49</v>
      </c>
      <c r="C25" s="20"/>
      <c r="D25" s="20"/>
      <c r="E25" s="20"/>
      <c r="F25" s="20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3</v>
      </c>
      <c r="W25" s="3">
        <v>4</v>
      </c>
      <c r="X25" s="3">
        <v>4</v>
      </c>
      <c r="Y25" s="3"/>
      <c r="Z25" s="3"/>
      <c r="AA25" s="3">
        <v>2</v>
      </c>
      <c r="AB25" s="3">
        <v>3</v>
      </c>
      <c r="AC25" s="3"/>
      <c r="AD25" s="3"/>
      <c r="AE25" s="3">
        <v>2</v>
      </c>
      <c r="AF25" s="3"/>
      <c r="AG25" s="3"/>
      <c r="AH25" s="3"/>
      <c r="AI25" s="3">
        <v>2</v>
      </c>
      <c r="AJ25" s="3"/>
      <c r="AK25" s="3"/>
      <c r="AL25" s="3"/>
      <c r="AM25" s="3"/>
      <c r="AN25" s="3">
        <v>1</v>
      </c>
      <c r="AO25" s="3"/>
      <c r="AP25" s="3"/>
      <c r="AQ25" s="3"/>
      <c r="AR25" s="3">
        <v>1</v>
      </c>
      <c r="AS25" s="3"/>
      <c r="AT25" s="3"/>
      <c r="AU25" s="3"/>
      <c r="AV25" s="3"/>
      <c r="AW25" s="3"/>
    </row>
    <row r="26" spans="1:49" s="1" customFormat="1" ht="13" x14ac:dyDescent="0.3">
      <c r="A26" s="28" t="s">
        <v>50</v>
      </c>
      <c r="B26" s="23" t="s">
        <v>50</v>
      </c>
      <c r="C26" s="20">
        <v>2</v>
      </c>
      <c r="D26" s="20"/>
      <c r="E26" s="20"/>
      <c r="F26" s="20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>
        <v>1</v>
      </c>
      <c r="X26" s="3">
        <v>1</v>
      </c>
      <c r="Y26" s="3"/>
      <c r="Z26" s="3"/>
      <c r="AA26" s="3">
        <v>2</v>
      </c>
      <c r="AB26" s="3">
        <v>2</v>
      </c>
      <c r="AC26" s="3"/>
      <c r="AD26" s="3"/>
      <c r="AE26" s="3">
        <v>2</v>
      </c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</row>
    <row r="27" spans="1:49" s="1" customFormat="1" ht="13" x14ac:dyDescent="0.3">
      <c r="A27" s="28" t="s">
        <v>232</v>
      </c>
      <c r="B27" s="23" t="s">
        <v>232</v>
      </c>
      <c r="C27" s="20"/>
      <c r="D27" s="20"/>
      <c r="E27" s="20"/>
      <c r="F27" s="20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>
        <v>1</v>
      </c>
      <c r="AS27" s="3"/>
      <c r="AT27" s="3"/>
      <c r="AU27" s="3"/>
      <c r="AV27" s="3"/>
      <c r="AW27" s="3"/>
    </row>
    <row r="28" spans="1:49" s="1" customFormat="1" ht="13" x14ac:dyDescent="0.3">
      <c r="A28" s="28" t="s">
        <v>233</v>
      </c>
      <c r="B28" s="23" t="s">
        <v>233</v>
      </c>
      <c r="C28" s="20"/>
      <c r="D28" s="20"/>
      <c r="E28" s="20"/>
      <c r="F28" s="20"/>
      <c r="G28" s="3"/>
      <c r="H28" s="3"/>
      <c r="I28" s="3">
        <v>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>
        <v>1</v>
      </c>
      <c r="AQ28" s="3">
        <v>1</v>
      </c>
      <c r="AR28" s="3"/>
      <c r="AS28" s="3"/>
      <c r="AT28" s="3">
        <v>1</v>
      </c>
      <c r="AU28" s="3">
        <v>4</v>
      </c>
      <c r="AV28" s="3"/>
      <c r="AW28" s="3"/>
    </row>
    <row r="29" spans="1:49" s="1" customFormat="1" ht="13" x14ac:dyDescent="0.3">
      <c r="A29" s="28" t="s">
        <v>234</v>
      </c>
      <c r="B29" s="23" t="s">
        <v>234</v>
      </c>
      <c r="C29" s="20"/>
      <c r="D29" s="20"/>
      <c r="E29" s="20"/>
      <c r="F29" s="20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>
        <v>1</v>
      </c>
      <c r="X29" s="3">
        <v>1</v>
      </c>
      <c r="Y29" s="3"/>
      <c r="Z29" s="3"/>
      <c r="AA29" s="3">
        <v>2</v>
      </c>
      <c r="AB29" s="3">
        <v>2</v>
      </c>
      <c r="AC29" s="3"/>
      <c r="AD29" s="3"/>
      <c r="AE29" s="3">
        <v>2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</row>
    <row r="30" spans="1:49" s="1" customFormat="1" ht="13" x14ac:dyDescent="0.3">
      <c r="A30" s="28" t="s">
        <v>51</v>
      </c>
      <c r="B30" s="23" t="s">
        <v>51</v>
      </c>
      <c r="C30" s="20">
        <v>3</v>
      </c>
      <c r="D30" s="20"/>
      <c r="E30" s="20"/>
      <c r="F30" s="20"/>
      <c r="G30" s="3"/>
      <c r="H30" s="3"/>
      <c r="I30" s="3"/>
      <c r="J30" s="3"/>
      <c r="K30" s="3"/>
      <c r="L30" s="3"/>
      <c r="M30" s="3"/>
      <c r="N30" s="3"/>
      <c r="O30" s="3"/>
      <c r="P30" s="3">
        <v>1</v>
      </c>
      <c r="Q30" s="3"/>
      <c r="R30" s="3"/>
      <c r="S30" s="3"/>
      <c r="T30" s="3"/>
      <c r="U30" s="3">
        <v>2</v>
      </c>
      <c r="V30" s="3"/>
      <c r="W30" s="3">
        <v>3</v>
      </c>
      <c r="X30" s="3">
        <v>1</v>
      </c>
      <c r="Y30" s="3">
        <v>3</v>
      </c>
      <c r="Z30" s="3">
        <v>1</v>
      </c>
      <c r="AA30" s="3">
        <v>1</v>
      </c>
      <c r="AB30" s="3">
        <v>1</v>
      </c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</row>
    <row r="31" spans="1:49" s="1" customFormat="1" ht="13" x14ac:dyDescent="0.3">
      <c r="A31" s="28" t="s">
        <v>52</v>
      </c>
      <c r="B31" s="23" t="s">
        <v>52</v>
      </c>
      <c r="C31" s="20"/>
      <c r="D31" s="20"/>
      <c r="E31" s="20"/>
      <c r="F31" s="20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>
        <v>2</v>
      </c>
      <c r="Y31" s="3"/>
      <c r="Z31" s="3">
        <v>2</v>
      </c>
      <c r="AA31" s="3"/>
      <c r="AB31" s="3"/>
      <c r="AC31" s="3"/>
      <c r="AD31" s="3"/>
      <c r="AE31" s="3"/>
      <c r="AF31" s="3"/>
      <c r="AG31" s="3"/>
      <c r="AH31" s="3"/>
      <c r="AI31" s="3"/>
      <c r="AJ31" s="3">
        <v>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</row>
    <row r="32" spans="1:49" s="1" customFormat="1" ht="13" x14ac:dyDescent="0.3">
      <c r="A32" s="28" t="s">
        <v>235</v>
      </c>
      <c r="B32" s="23" t="s">
        <v>235</v>
      </c>
      <c r="C32" s="20"/>
      <c r="D32" s="20"/>
      <c r="E32" s="20"/>
      <c r="F32" s="20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1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</row>
    <row r="33" spans="1:49" s="1" customFormat="1" ht="13" x14ac:dyDescent="0.3">
      <c r="A33" s="28" t="s">
        <v>53</v>
      </c>
      <c r="B33" s="23" t="s">
        <v>53</v>
      </c>
      <c r="C33" s="20"/>
      <c r="D33" s="20"/>
      <c r="E33" s="20"/>
      <c r="F33" s="20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>
        <v>1</v>
      </c>
      <c r="X33" s="3">
        <v>1</v>
      </c>
      <c r="Y33" s="3"/>
      <c r="Z33" s="3"/>
      <c r="AA33" s="3">
        <v>3</v>
      </c>
      <c r="AB33" s="3">
        <v>3</v>
      </c>
      <c r="AC33" s="3"/>
      <c r="AD33" s="3"/>
      <c r="AE33" s="3">
        <v>2</v>
      </c>
      <c r="AF33" s="3"/>
      <c r="AG33" s="3"/>
      <c r="AH33" s="3"/>
      <c r="AI33" s="3">
        <v>2</v>
      </c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</row>
    <row r="34" spans="1:49" s="1" customFormat="1" ht="13" x14ac:dyDescent="0.3">
      <c r="A34" s="28" t="s">
        <v>236</v>
      </c>
      <c r="B34" s="23" t="s">
        <v>236</v>
      </c>
      <c r="C34" s="20"/>
      <c r="D34" s="20"/>
      <c r="E34" s="20"/>
      <c r="F34" s="20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>
        <v>1</v>
      </c>
      <c r="AV34" s="3"/>
      <c r="AW34" s="3"/>
    </row>
    <row r="35" spans="1:49" s="1" customFormat="1" ht="13" x14ac:dyDescent="0.3">
      <c r="A35" s="28" t="s">
        <v>54</v>
      </c>
      <c r="B35" s="23" t="s">
        <v>54</v>
      </c>
      <c r="C35" s="20"/>
      <c r="D35" s="20"/>
      <c r="E35" s="20"/>
      <c r="F35" s="20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>
        <v>2</v>
      </c>
      <c r="V35" s="3"/>
      <c r="W35" s="3">
        <v>3</v>
      </c>
      <c r="X35" s="3">
        <v>3</v>
      </c>
      <c r="Y35" s="3">
        <v>3</v>
      </c>
      <c r="Z35" s="3">
        <v>3</v>
      </c>
      <c r="AA35" s="3">
        <v>3</v>
      </c>
      <c r="AB35" s="3">
        <v>3</v>
      </c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</row>
    <row r="36" spans="1:49" s="1" customFormat="1" ht="13" x14ac:dyDescent="0.3">
      <c r="A36" s="28" t="s">
        <v>237</v>
      </c>
      <c r="B36" s="23" t="s">
        <v>237</v>
      </c>
      <c r="C36" s="20"/>
      <c r="D36" s="20"/>
      <c r="E36" s="20"/>
      <c r="F36" s="20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>
        <v>1</v>
      </c>
      <c r="AQ36" s="3">
        <v>1</v>
      </c>
      <c r="AR36" s="3"/>
      <c r="AS36" s="3"/>
      <c r="AT36" s="3"/>
      <c r="AU36" s="3"/>
      <c r="AV36" s="3"/>
      <c r="AW36" s="3"/>
    </row>
    <row r="37" spans="1:49" s="1" customFormat="1" ht="13" x14ac:dyDescent="0.3">
      <c r="A37" s="28" t="s">
        <v>238</v>
      </c>
      <c r="B37" s="23" t="s">
        <v>238</v>
      </c>
      <c r="C37" s="20"/>
      <c r="D37" s="20"/>
      <c r="E37" s="20"/>
      <c r="F37" s="20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>
        <v>1</v>
      </c>
      <c r="AB37" s="3">
        <v>1</v>
      </c>
      <c r="AC37" s="3"/>
      <c r="AD37" s="3"/>
      <c r="AE37" s="3">
        <v>1</v>
      </c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>
        <v>1</v>
      </c>
      <c r="AQ37" s="3"/>
      <c r="AR37" s="3"/>
      <c r="AS37" s="3"/>
      <c r="AT37" s="3"/>
      <c r="AU37" s="3"/>
      <c r="AV37" s="3"/>
      <c r="AW37" s="3"/>
    </row>
    <row r="38" spans="1:49" s="1" customFormat="1" ht="13" x14ac:dyDescent="0.3">
      <c r="A38" s="28" t="s">
        <v>57</v>
      </c>
      <c r="B38" s="23" t="s">
        <v>57</v>
      </c>
      <c r="C38" s="20"/>
      <c r="D38" s="20"/>
      <c r="E38" s="20"/>
      <c r="F38" s="20"/>
      <c r="G38" s="3"/>
      <c r="H38" s="3"/>
      <c r="I38" s="3"/>
      <c r="J38" s="3"/>
      <c r="K38" s="3">
        <v>1</v>
      </c>
      <c r="L38" s="3"/>
      <c r="M38" s="3"/>
      <c r="N38" s="3"/>
      <c r="O38" s="3"/>
      <c r="P38" s="3">
        <v>2</v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>
        <v>3</v>
      </c>
      <c r="AC38" s="3"/>
      <c r="AD38" s="3"/>
      <c r="AE38" s="3"/>
      <c r="AF38" s="3">
        <v>2</v>
      </c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</row>
    <row r="39" spans="1:49" s="1" customFormat="1" ht="13" x14ac:dyDescent="0.3">
      <c r="A39" s="28" t="s">
        <v>58</v>
      </c>
      <c r="B39" s="23" t="s">
        <v>58</v>
      </c>
      <c r="C39" s="20"/>
      <c r="D39" s="20"/>
      <c r="E39" s="20"/>
      <c r="F39" s="20"/>
      <c r="G39" s="3"/>
      <c r="H39" s="3"/>
      <c r="I39" s="3"/>
      <c r="J39" s="3"/>
      <c r="K39" s="3">
        <v>1</v>
      </c>
      <c r="L39" s="3"/>
      <c r="M39" s="3"/>
      <c r="N39" s="3"/>
      <c r="O39" s="3"/>
      <c r="P39" s="3"/>
      <c r="Q39" s="3"/>
      <c r="R39" s="3"/>
      <c r="S39" s="3">
        <v>3</v>
      </c>
      <c r="T39" s="3">
        <v>3</v>
      </c>
      <c r="U39" s="3"/>
      <c r="V39" s="3"/>
      <c r="W39" s="3"/>
      <c r="X39" s="3"/>
      <c r="Y39" s="3"/>
      <c r="Z39" s="3"/>
      <c r="AA39" s="3">
        <v>1</v>
      </c>
      <c r="AB39" s="3">
        <v>1</v>
      </c>
      <c r="AC39" s="3"/>
      <c r="AD39" s="3"/>
      <c r="AE39" s="3">
        <v>4</v>
      </c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</row>
    <row r="40" spans="1:49" s="1" customFormat="1" ht="13" x14ac:dyDescent="0.3">
      <c r="A40" s="28" t="s">
        <v>239</v>
      </c>
      <c r="B40" s="23" t="s">
        <v>239</v>
      </c>
      <c r="C40" s="20">
        <v>1</v>
      </c>
      <c r="D40" s="20"/>
      <c r="E40" s="20"/>
      <c r="F40" s="20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>
        <v>4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>
        <v>1</v>
      </c>
      <c r="AJ40" s="3">
        <v>1</v>
      </c>
      <c r="AK40" s="3"/>
      <c r="AL40" s="3">
        <v>1</v>
      </c>
      <c r="AM40" s="3">
        <v>4</v>
      </c>
      <c r="AN40" s="3"/>
      <c r="AO40" s="3"/>
      <c r="AP40" s="3"/>
      <c r="AQ40" s="3"/>
      <c r="AR40" s="3"/>
      <c r="AS40" s="3"/>
      <c r="AT40" s="3"/>
      <c r="AU40" s="3"/>
      <c r="AV40" s="3"/>
      <c r="AW40" s="3"/>
    </row>
    <row r="41" spans="1:49" s="1" customFormat="1" ht="13" x14ac:dyDescent="0.3">
      <c r="A41" s="28" t="s">
        <v>240</v>
      </c>
      <c r="B41" s="23" t="s">
        <v>240</v>
      </c>
      <c r="C41" s="20"/>
      <c r="D41" s="20"/>
      <c r="E41" s="20"/>
      <c r="F41" s="20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>
        <v>2</v>
      </c>
      <c r="X41" s="3"/>
      <c r="Y41" s="3">
        <v>1</v>
      </c>
      <c r="Z41" s="3">
        <v>1</v>
      </c>
      <c r="AA41" s="3">
        <v>1</v>
      </c>
      <c r="AB41" s="3">
        <v>1</v>
      </c>
      <c r="AC41" s="3"/>
      <c r="AD41" s="3"/>
      <c r="AE41" s="3"/>
      <c r="AF41" s="3"/>
      <c r="AG41" s="3"/>
      <c r="AH41" s="3"/>
      <c r="AI41" s="3"/>
      <c r="AJ41" s="3"/>
      <c r="AK41" s="3"/>
      <c r="AL41" s="3">
        <v>1</v>
      </c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</row>
    <row r="42" spans="1:49" s="1" customFormat="1" ht="13" x14ac:dyDescent="0.3">
      <c r="A42" s="28" t="s">
        <v>59</v>
      </c>
      <c r="B42" s="23" t="s">
        <v>59</v>
      </c>
      <c r="C42" s="20">
        <v>2</v>
      </c>
      <c r="D42" s="20"/>
      <c r="E42" s="20"/>
      <c r="F42" s="20"/>
      <c r="G42" s="3">
        <v>2</v>
      </c>
      <c r="H42" s="3"/>
      <c r="I42" s="3">
        <v>2</v>
      </c>
      <c r="J42" s="3"/>
      <c r="K42" s="3"/>
      <c r="L42" s="3"/>
      <c r="M42" s="3"/>
      <c r="N42" s="3"/>
      <c r="O42" s="3"/>
      <c r="P42" s="3"/>
      <c r="Q42" s="3"/>
      <c r="R42" s="3">
        <v>1</v>
      </c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1</v>
      </c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</row>
    <row r="43" spans="1:49" s="1" customFormat="1" ht="13" x14ac:dyDescent="0.3">
      <c r="A43" s="28" t="s">
        <v>241</v>
      </c>
      <c r="B43" s="23" t="s">
        <v>241</v>
      </c>
      <c r="C43" s="20"/>
      <c r="D43" s="20"/>
      <c r="E43" s="20"/>
      <c r="F43" s="20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>
        <v>1</v>
      </c>
      <c r="AV43" s="3"/>
      <c r="AW43" s="3"/>
    </row>
    <row r="44" spans="1:49" s="1" customFormat="1" ht="13" x14ac:dyDescent="0.3">
      <c r="A44" s="28" t="s">
        <v>242</v>
      </c>
      <c r="B44" s="23" t="s">
        <v>242</v>
      </c>
      <c r="C44" s="20"/>
      <c r="D44" s="20"/>
      <c r="E44" s="20"/>
      <c r="F44" s="20"/>
      <c r="G44" s="3"/>
      <c r="H44" s="3"/>
      <c r="I44" s="3"/>
      <c r="J44" s="3"/>
      <c r="K44" s="3">
        <v>1</v>
      </c>
      <c r="L44" s="3"/>
      <c r="M44" s="3"/>
      <c r="N44" s="3"/>
      <c r="O44" s="3"/>
      <c r="P44" s="3">
        <v>1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>
        <v>1</v>
      </c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</row>
    <row r="45" spans="1:49" s="1" customFormat="1" ht="13" x14ac:dyDescent="0.3">
      <c r="A45" s="28" t="s">
        <v>60</v>
      </c>
      <c r="B45" s="23" t="s">
        <v>60</v>
      </c>
      <c r="C45" s="20">
        <v>2</v>
      </c>
      <c r="D45" s="20"/>
      <c r="E45" s="20"/>
      <c r="F45" s="20"/>
      <c r="G45" s="3"/>
      <c r="H45" s="3"/>
      <c r="I45" s="3"/>
      <c r="J45" s="3"/>
      <c r="K45" s="3"/>
      <c r="L45" s="3"/>
      <c r="M45" s="3">
        <v>1</v>
      </c>
      <c r="N45" s="3"/>
      <c r="O45" s="3"/>
      <c r="P45" s="3"/>
      <c r="Q45" s="3"/>
      <c r="R45" s="3"/>
      <c r="S45" s="3">
        <v>2</v>
      </c>
      <c r="T45" s="3">
        <v>2</v>
      </c>
      <c r="U45" s="3"/>
      <c r="V45" s="3"/>
      <c r="W45" s="3">
        <v>1</v>
      </c>
      <c r="X45" s="3"/>
      <c r="Y45" s="3"/>
      <c r="Z45" s="3"/>
      <c r="AA45" s="3"/>
      <c r="AB45" s="3"/>
      <c r="AC45" s="3">
        <v>1</v>
      </c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>
        <v>4</v>
      </c>
      <c r="AO45" s="3">
        <v>4</v>
      </c>
      <c r="AP45" s="3">
        <v>4</v>
      </c>
      <c r="AQ45" s="3">
        <v>4</v>
      </c>
      <c r="AR45" s="3">
        <v>4</v>
      </c>
      <c r="AS45" s="3"/>
      <c r="AT45" s="3"/>
      <c r="AU45" s="3"/>
      <c r="AV45" s="3"/>
      <c r="AW45" s="3"/>
    </row>
    <row r="46" spans="1:49" s="1" customFormat="1" ht="13" x14ac:dyDescent="0.3">
      <c r="A46" s="28" t="s">
        <v>243</v>
      </c>
      <c r="B46" s="23" t="s">
        <v>243</v>
      </c>
      <c r="C46" s="20"/>
      <c r="D46" s="20"/>
      <c r="E46" s="20"/>
      <c r="F46" s="20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>
        <v>4</v>
      </c>
      <c r="Z46" s="3">
        <v>4</v>
      </c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>
        <v>1</v>
      </c>
      <c r="AO46" s="3"/>
      <c r="AP46" s="3"/>
      <c r="AQ46" s="3"/>
      <c r="AR46" s="3"/>
      <c r="AS46" s="3"/>
      <c r="AT46" s="3">
        <v>1</v>
      </c>
      <c r="AU46" s="3">
        <v>1</v>
      </c>
      <c r="AV46" s="3"/>
      <c r="AW46" s="3"/>
    </row>
    <row r="47" spans="1:49" s="1" customFormat="1" ht="13" x14ac:dyDescent="0.3">
      <c r="A47" s="28" t="s">
        <v>244</v>
      </c>
      <c r="B47" s="23" t="s">
        <v>244</v>
      </c>
      <c r="C47" s="20"/>
      <c r="D47" s="20"/>
      <c r="E47" s="20"/>
      <c r="F47" s="20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>
        <v>1</v>
      </c>
      <c r="AQ47" s="3">
        <v>1</v>
      </c>
      <c r="AR47" s="3"/>
      <c r="AS47" s="3"/>
      <c r="AT47" s="3"/>
      <c r="AU47" s="3"/>
      <c r="AV47" s="3"/>
      <c r="AW47" s="3"/>
    </row>
    <row r="48" spans="1:49" s="1" customFormat="1" ht="13" x14ac:dyDescent="0.3">
      <c r="A48" s="28" t="s">
        <v>61</v>
      </c>
      <c r="B48" s="23" t="s">
        <v>61</v>
      </c>
      <c r="C48" s="20">
        <v>2</v>
      </c>
      <c r="D48" s="20"/>
      <c r="E48" s="20"/>
      <c r="F48" s="20"/>
      <c r="G48" s="3"/>
      <c r="H48" s="3">
        <v>4</v>
      </c>
      <c r="I48" s="3"/>
      <c r="J48" s="3">
        <v>1</v>
      </c>
      <c r="K48" s="3"/>
      <c r="L48" s="3"/>
      <c r="M48" s="3"/>
      <c r="N48" s="3"/>
      <c r="O48" s="3"/>
      <c r="P48" s="3">
        <v>2</v>
      </c>
      <c r="Q48" s="3">
        <v>3</v>
      </c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>
        <v>2</v>
      </c>
      <c r="AG48" s="3"/>
      <c r="AH48" s="3"/>
      <c r="AI48" s="3"/>
      <c r="AJ48" s="3"/>
      <c r="AK48" s="3"/>
      <c r="AL48" s="3">
        <v>1</v>
      </c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</row>
    <row r="49" spans="1:49" s="1" customFormat="1" ht="13" x14ac:dyDescent="0.3">
      <c r="A49" s="28" t="s">
        <v>246</v>
      </c>
      <c r="B49" s="23" t="s">
        <v>246</v>
      </c>
      <c r="C49" s="20">
        <v>1</v>
      </c>
      <c r="D49" s="20"/>
      <c r="E49" s="20"/>
      <c r="F49" s="20"/>
      <c r="G49" s="3"/>
      <c r="H49" s="3"/>
      <c r="I49" s="3"/>
      <c r="J49" s="3"/>
      <c r="K49" s="3">
        <v>1</v>
      </c>
      <c r="L49" s="3"/>
      <c r="M49" s="3"/>
      <c r="N49" s="3"/>
      <c r="O49" s="3"/>
      <c r="P49" s="3">
        <v>1</v>
      </c>
      <c r="Q49" s="3"/>
      <c r="R49" s="3"/>
      <c r="S49" s="3"/>
      <c r="T49" s="3">
        <v>1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>
        <v>1</v>
      </c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</row>
    <row r="50" spans="1:49" s="1" customFormat="1" ht="13" x14ac:dyDescent="0.3">
      <c r="A50" s="28" t="s">
        <v>247</v>
      </c>
      <c r="B50" s="23" t="s">
        <v>247</v>
      </c>
      <c r="C50" s="20"/>
      <c r="D50" s="20"/>
      <c r="E50" s="20"/>
      <c r="F50" s="20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>
        <v>1</v>
      </c>
      <c r="AO50" s="3"/>
      <c r="AP50" s="3"/>
      <c r="AQ50" s="3"/>
      <c r="AR50" s="3"/>
      <c r="AS50" s="3"/>
      <c r="AT50" s="3"/>
      <c r="AU50" s="3"/>
      <c r="AV50" s="3"/>
      <c r="AW50" s="3"/>
    </row>
    <row r="51" spans="1:49" s="1" customFormat="1" ht="13" x14ac:dyDescent="0.3">
      <c r="A51" s="28" t="s">
        <v>62</v>
      </c>
      <c r="B51" s="23" t="s">
        <v>62</v>
      </c>
      <c r="C51" s="20">
        <v>2</v>
      </c>
      <c r="D51" s="20"/>
      <c r="E51" s="20"/>
      <c r="F51" s="20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>
        <v>3</v>
      </c>
      <c r="AB51" s="3">
        <v>3</v>
      </c>
      <c r="AC51" s="3"/>
      <c r="AD51" s="3"/>
      <c r="AE51" s="3">
        <v>3</v>
      </c>
      <c r="AF51" s="3"/>
      <c r="AG51" s="3"/>
      <c r="AH51" s="3"/>
      <c r="AI51" s="3">
        <v>3</v>
      </c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</row>
    <row r="52" spans="1:49" s="1" customFormat="1" ht="13" x14ac:dyDescent="0.3">
      <c r="A52" s="28" t="s">
        <v>248</v>
      </c>
      <c r="B52" s="23" t="s">
        <v>248</v>
      </c>
      <c r="C52" s="20">
        <v>3</v>
      </c>
      <c r="D52" s="20"/>
      <c r="E52" s="20"/>
      <c r="F52" s="20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>
        <v>2</v>
      </c>
      <c r="Y52" s="3">
        <v>1</v>
      </c>
      <c r="Z52" s="3">
        <v>1</v>
      </c>
      <c r="AA52" s="3">
        <v>1</v>
      </c>
      <c r="AB52" s="3">
        <v>1</v>
      </c>
      <c r="AC52" s="3"/>
      <c r="AD52" s="3"/>
      <c r="AE52" s="3"/>
      <c r="AF52" s="3"/>
      <c r="AG52" s="3"/>
      <c r="AH52" s="3"/>
      <c r="AI52" s="3"/>
      <c r="AJ52" s="3"/>
      <c r="AK52" s="3"/>
      <c r="AL52" s="3">
        <v>1</v>
      </c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</row>
    <row r="53" spans="1:49" s="1" customFormat="1" ht="13" x14ac:dyDescent="0.3">
      <c r="A53" s="28" t="s">
        <v>63</v>
      </c>
      <c r="B53" s="23" t="s">
        <v>63</v>
      </c>
      <c r="C53" s="20"/>
      <c r="D53" s="20"/>
      <c r="E53" s="20"/>
      <c r="F53" s="20"/>
      <c r="G53" s="3"/>
      <c r="H53" s="3"/>
      <c r="I53" s="3"/>
      <c r="J53" s="3"/>
      <c r="K53" s="3"/>
      <c r="L53" s="3"/>
      <c r="M53" s="3"/>
      <c r="N53" s="3"/>
      <c r="O53" s="3"/>
      <c r="P53" s="3"/>
      <c r="Q53" s="3">
        <v>3</v>
      </c>
      <c r="R53" s="3"/>
      <c r="S53" s="3"/>
      <c r="T53" s="3"/>
      <c r="U53" s="3"/>
      <c r="V53" s="3"/>
      <c r="W53" s="3">
        <v>1</v>
      </c>
      <c r="X53" s="3">
        <v>1</v>
      </c>
      <c r="Y53" s="3">
        <v>1</v>
      </c>
      <c r="Z53" s="3">
        <v>1</v>
      </c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>
        <v>4</v>
      </c>
      <c r="AQ53" s="3"/>
      <c r="AR53" s="3"/>
      <c r="AS53" s="3"/>
      <c r="AT53" s="3"/>
      <c r="AU53" s="3"/>
      <c r="AV53" s="3"/>
      <c r="AW53" s="3"/>
    </row>
    <row r="54" spans="1:49" s="1" customFormat="1" ht="13" x14ac:dyDescent="0.3">
      <c r="A54" s="28" t="s">
        <v>64</v>
      </c>
      <c r="B54" s="23" t="s">
        <v>64</v>
      </c>
      <c r="C54" s="20">
        <v>3</v>
      </c>
      <c r="D54" s="20"/>
      <c r="E54" s="20"/>
      <c r="F54" s="20"/>
      <c r="G54" s="3"/>
      <c r="H54" s="3"/>
      <c r="I54" s="3">
        <v>1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>
        <v>3</v>
      </c>
      <c r="X54" s="3">
        <v>3</v>
      </c>
      <c r="Y54" s="3">
        <v>1</v>
      </c>
      <c r="Z54" s="3">
        <v>1</v>
      </c>
      <c r="AA54" s="3">
        <v>3</v>
      </c>
      <c r="AB54" s="3">
        <v>3</v>
      </c>
      <c r="AC54" s="3"/>
      <c r="AD54" s="3"/>
      <c r="AE54" s="3">
        <v>2</v>
      </c>
      <c r="AF54" s="3"/>
      <c r="AG54" s="3"/>
      <c r="AH54" s="3"/>
      <c r="AI54" s="3">
        <v>2</v>
      </c>
      <c r="AJ54" s="3"/>
      <c r="AK54" s="3"/>
      <c r="AL54" s="3">
        <v>1</v>
      </c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</row>
    <row r="55" spans="1:49" s="1" customFormat="1" ht="13" x14ac:dyDescent="0.3">
      <c r="A55" s="28" t="s">
        <v>249</v>
      </c>
      <c r="B55" s="23" t="s">
        <v>249</v>
      </c>
      <c r="C55" s="20"/>
      <c r="D55" s="20"/>
      <c r="E55" s="20"/>
      <c r="F55" s="20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>
        <v>1</v>
      </c>
      <c r="AF55" s="3"/>
      <c r="AG55" s="3"/>
      <c r="AH55" s="3"/>
      <c r="AI55" s="3">
        <v>1</v>
      </c>
      <c r="AJ55" s="3"/>
      <c r="AK55" s="3"/>
      <c r="AL55" s="3">
        <v>1</v>
      </c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</row>
    <row r="56" spans="1:49" s="1" customFormat="1" ht="13" x14ac:dyDescent="0.3">
      <c r="A56" s="28" t="s">
        <v>65</v>
      </c>
      <c r="B56" s="23" t="s">
        <v>65</v>
      </c>
      <c r="C56" s="20"/>
      <c r="D56" s="20"/>
      <c r="E56" s="20"/>
      <c r="F56" s="20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1</v>
      </c>
      <c r="AK56" s="3"/>
      <c r="AL56" s="3">
        <v>2</v>
      </c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</row>
    <row r="57" spans="1:49" s="1" customFormat="1" ht="13" x14ac:dyDescent="0.3">
      <c r="A57" s="28" t="s">
        <v>66</v>
      </c>
      <c r="B57" s="23" t="s">
        <v>66</v>
      </c>
      <c r="C57" s="20"/>
      <c r="D57" s="20"/>
      <c r="E57" s="20"/>
      <c r="F57" s="20"/>
      <c r="G57" s="3"/>
      <c r="H57" s="3">
        <v>1</v>
      </c>
      <c r="I57" s="3"/>
      <c r="J57" s="3"/>
      <c r="K57" s="3"/>
      <c r="L57" s="3"/>
      <c r="M57" s="3"/>
      <c r="N57" s="3"/>
      <c r="O57" s="3"/>
      <c r="P57" s="3"/>
      <c r="Q57" s="3">
        <v>3</v>
      </c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</row>
    <row r="58" spans="1:49" s="1" customFormat="1" ht="13" x14ac:dyDescent="0.3">
      <c r="A58" s="28" t="s">
        <v>250</v>
      </c>
      <c r="B58" s="23" t="s">
        <v>250</v>
      </c>
      <c r="C58" s="20"/>
      <c r="D58" s="20"/>
      <c r="E58" s="20"/>
      <c r="F58" s="20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>
        <v>1</v>
      </c>
      <c r="AQ58" s="3">
        <v>1</v>
      </c>
      <c r="AR58" s="3">
        <v>1</v>
      </c>
      <c r="AS58" s="3">
        <v>1</v>
      </c>
      <c r="AT58" s="3">
        <v>1</v>
      </c>
      <c r="AU58" s="3"/>
      <c r="AV58" s="3"/>
      <c r="AW58" s="3"/>
    </row>
    <row r="59" spans="1:49" s="1" customFormat="1" ht="13" x14ac:dyDescent="0.3">
      <c r="A59" s="28" t="s">
        <v>252</v>
      </c>
      <c r="B59" s="23" t="s">
        <v>252</v>
      </c>
      <c r="C59" s="20">
        <v>3</v>
      </c>
      <c r="D59" s="20">
        <v>3</v>
      </c>
      <c r="E59" s="20">
        <v>3</v>
      </c>
      <c r="F59" s="20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</row>
    <row r="60" spans="1:49" s="1" customFormat="1" ht="13" x14ac:dyDescent="0.3">
      <c r="A60" s="28" t="s">
        <v>67</v>
      </c>
      <c r="B60" s="23" t="s">
        <v>67</v>
      </c>
      <c r="C60" s="20"/>
      <c r="D60" s="20"/>
      <c r="E60" s="20"/>
      <c r="F60" s="20"/>
      <c r="G60" s="3">
        <v>3</v>
      </c>
      <c r="H60" s="3"/>
      <c r="I60" s="3">
        <v>3</v>
      </c>
      <c r="J60" s="3"/>
      <c r="K60" s="3"/>
      <c r="L60" s="3"/>
      <c r="M60" s="3"/>
      <c r="N60" s="3"/>
      <c r="O60" s="3"/>
      <c r="P60" s="3"/>
      <c r="Q60" s="3"/>
      <c r="R60" s="3">
        <v>1</v>
      </c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>
        <v>1</v>
      </c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</row>
    <row r="61" spans="1:49" s="1" customFormat="1" ht="13" x14ac:dyDescent="0.3">
      <c r="A61" s="28" t="s">
        <v>253</v>
      </c>
      <c r="B61" s="23" t="s">
        <v>253</v>
      </c>
      <c r="C61" s="20"/>
      <c r="D61" s="20"/>
      <c r="E61" s="20"/>
      <c r="F61" s="20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>
        <v>1</v>
      </c>
      <c r="AO61" s="3"/>
      <c r="AP61" s="3">
        <v>1</v>
      </c>
      <c r="AQ61" s="3">
        <v>1</v>
      </c>
      <c r="AR61" s="3"/>
      <c r="AS61" s="3"/>
      <c r="AT61" s="3">
        <v>1</v>
      </c>
      <c r="AU61" s="3"/>
      <c r="AV61" s="3"/>
      <c r="AW61" s="3"/>
    </row>
    <row r="62" spans="1:49" s="1" customFormat="1" ht="13" x14ac:dyDescent="0.3">
      <c r="A62" s="28" t="s">
        <v>254</v>
      </c>
      <c r="B62" s="23" t="s">
        <v>254</v>
      </c>
      <c r="C62" s="20"/>
      <c r="D62" s="20"/>
      <c r="E62" s="20"/>
      <c r="F62" s="20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>
        <v>1</v>
      </c>
      <c r="AR62" s="3"/>
      <c r="AS62" s="3">
        <v>1</v>
      </c>
      <c r="AT62" s="3"/>
      <c r="AU62" s="3"/>
      <c r="AV62" s="3"/>
      <c r="AW62" s="3"/>
    </row>
    <row r="63" spans="1:49" s="1" customFormat="1" ht="13" x14ac:dyDescent="0.3">
      <c r="A63" s="28" t="s">
        <v>255</v>
      </c>
      <c r="B63" s="23" t="s">
        <v>255</v>
      </c>
      <c r="C63" s="20"/>
      <c r="D63" s="20"/>
      <c r="E63" s="20"/>
      <c r="F63" s="20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>
        <v>1</v>
      </c>
      <c r="AQ63" s="3"/>
      <c r="AR63" s="3"/>
      <c r="AS63" s="3"/>
      <c r="AT63" s="3"/>
      <c r="AU63" s="3"/>
      <c r="AV63" s="3"/>
      <c r="AW63" s="3"/>
    </row>
    <row r="64" spans="1:49" s="1" customFormat="1" ht="13" x14ac:dyDescent="0.3">
      <c r="A64" s="28" t="s">
        <v>68</v>
      </c>
      <c r="B64" s="23" t="s">
        <v>68</v>
      </c>
      <c r="C64" s="20"/>
      <c r="D64" s="20"/>
      <c r="E64" s="20"/>
      <c r="F64" s="20"/>
      <c r="G64" s="3">
        <v>3</v>
      </c>
      <c r="H64" s="3"/>
      <c r="I64" s="3">
        <v>3</v>
      </c>
      <c r="J64" s="3"/>
      <c r="K64" s="3">
        <v>1</v>
      </c>
      <c r="L64" s="3"/>
      <c r="M64" s="3"/>
      <c r="N64" s="3"/>
      <c r="O64" s="3"/>
      <c r="P64" s="3">
        <v>2</v>
      </c>
      <c r="Q64" s="3"/>
      <c r="R64" s="3"/>
      <c r="S64" s="3"/>
      <c r="T64" s="3"/>
      <c r="U64" s="3"/>
      <c r="V64" s="3"/>
      <c r="W64" s="3">
        <v>3</v>
      </c>
      <c r="X64" s="3">
        <v>3</v>
      </c>
      <c r="Y64" s="3">
        <v>3</v>
      </c>
      <c r="Z64" s="3">
        <v>3</v>
      </c>
      <c r="AA64" s="3">
        <v>3</v>
      </c>
      <c r="AB64" s="3">
        <v>3</v>
      </c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</row>
    <row r="65" spans="1:49" s="1" customFormat="1" ht="13" x14ac:dyDescent="0.3">
      <c r="A65" s="28" t="s">
        <v>69</v>
      </c>
      <c r="B65" s="23" t="s">
        <v>69</v>
      </c>
      <c r="C65" s="20"/>
      <c r="D65" s="20"/>
      <c r="E65" s="20"/>
      <c r="F65" s="20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>
        <v>2</v>
      </c>
      <c r="Y65" s="3">
        <v>2</v>
      </c>
      <c r="Z65" s="3">
        <v>2</v>
      </c>
      <c r="AA65" s="3">
        <v>3</v>
      </c>
      <c r="AB65" s="3">
        <v>2</v>
      </c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</row>
    <row r="66" spans="1:49" s="1" customFormat="1" ht="13" x14ac:dyDescent="0.3">
      <c r="A66" s="28" t="s">
        <v>256</v>
      </c>
      <c r="B66" s="23" t="s">
        <v>256</v>
      </c>
      <c r="C66" s="20"/>
      <c r="D66" s="20"/>
      <c r="E66" s="20"/>
      <c r="F66" s="20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>
        <v>1</v>
      </c>
      <c r="AQ66" s="3"/>
      <c r="AR66" s="3"/>
      <c r="AS66" s="3"/>
      <c r="AT66" s="3"/>
      <c r="AU66" s="3"/>
      <c r="AV66" s="3"/>
      <c r="AW66" s="3"/>
    </row>
    <row r="67" spans="1:49" s="1" customFormat="1" ht="13" x14ac:dyDescent="0.3">
      <c r="A67" s="28" t="s">
        <v>70</v>
      </c>
      <c r="B67" s="23" t="s">
        <v>70</v>
      </c>
      <c r="C67" s="20">
        <v>3</v>
      </c>
      <c r="D67" s="20"/>
      <c r="E67" s="20"/>
      <c r="F67" s="20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>
        <v>3</v>
      </c>
      <c r="X67" s="3"/>
      <c r="Y67" s="3">
        <v>3</v>
      </c>
      <c r="Z67" s="3">
        <v>1</v>
      </c>
      <c r="AA67" s="3">
        <v>1</v>
      </c>
      <c r="AB67" s="3">
        <v>1</v>
      </c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</row>
    <row r="68" spans="1:49" s="1" customFormat="1" ht="13" x14ac:dyDescent="0.3">
      <c r="A68" s="28" t="s">
        <v>257</v>
      </c>
      <c r="B68" s="23" t="s">
        <v>257</v>
      </c>
      <c r="C68" s="20"/>
      <c r="D68" s="20"/>
      <c r="E68" s="20"/>
      <c r="F68" s="20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>
        <v>1</v>
      </c>
      <c r="AQ68" s="3"/>
      <c r="AR68" s="3"/>
      <c r="AS68" s="3"/>
      <c r="AT68" s="3"/>
      <c r="AU68" s="3"/>
      <c r="AV68" s="3"/>
      <c r="AW68" s="3"/>
    </row>
    <row r="69" spans="1:49" s="1" customFormat="1" ht="13" x14ac:dyDescent="0.3">
      <c r="A69" s="28" t="s">
        <v>71</v>
      </c>
      <c r="B69" s="23" t="s">
        <v>71</v>
      </c>
      <c r="C69" s="20"/>
      <c r="D69" s="20"/>
      <c r="E69" s="20"/>
      <c r="F69" s="20"/>
      <c r="G69" s="3"/>
      <c r="H69" s="3"/>
      <c r="I69" s="3"/>
      <c r="J69" s="3"/>
      <c r="K69" s="3"/>
      <c r="L69" s="3"/>
      <c r="M69" s="3"/>
      <c r="N69" s="3"/>
      <c r="O69" s="3"/>
      <c r="P69" s="3"/>
      <c r="Q69" s="3">
        <v>1</v>
      </c>
      <c r="R69" s="3"/>
      <c r="S69" s="3"/>
      <c r="T69" s="3"/>
      <c r="U69" s="3"/>
      <c r="V69" s="3">
        <v>3</v>
      </c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</row>
    <row r="70" spans="1:49" s="1" customFormat="1" ht="13" x14ac:dyDescent="0.3">
      <c r="A70" s="28" t="s">
        <v>72</v>
      </c>
      <c r="B70" s="23" t="s">
        <v>72</v>
      </c>
      <c r="C70" s="20"/>
      <c r="D70" s="20"/>
      <c r="E70" s="20"/>
      <c r="F70" s="20"/>
      <c r="G70" s="3"/>
      <c r="H70" s="3"/>
      <c r="I70" s="3">
        <v>1</v>
      </c>
      <c r="J70" s="3"/>
      <c r="K70" s="3">
        <v>3</v>
      </c>
      <c r="L70" s="3"/>
      <c r="M70" s="3"/>
      <c r="N70" s="3"/>
      <c r="O70" s="3"/>
      <c r="P70" s="3">
        <v>3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>
        <v>2</v>
      </c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</row>
    <row r="71" spans="1:49" s="1" customFormat="1" ht="13" x14ac:dyDescent="0.3">
      <c r="A71" s="28" t="s">
        <v>258</v>
      </c>
      <c r="B71" s="23" t="s">
        <v>258</v>
      </c>
      <c r="C71" s="20"/>
      <c r="D71" s="20"/>
      <c r="E71" s="20"/>
      <c r="F71" s="20"/>
      <c r="G71" s="3"/>
      <c r="H71" s="3"/>
      <c r="I71" s="3">
        <v>1</v>
      </c>
      <c r="J71" s="3"/>
      <c r="K71" s="3"/>
      <c r="L71" s="3"/>
      <c r="M71" s="3"/>
      <c r="N71" s="3"/>
      <c r="O71" s="3"/>
      <c r="P71" s="3"/>
      <c r="Q71" s="3">
        <v>1</v>
      </c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</row>
    <row r="72" spans="1:49" s="1" customFormat="1" ht="13" x14ac:dyDescent="0.3">
      <c r="A72" s="28" t="s">
        <v>73</v>
      </c>
      <c r="B72" s="23" t="s">
        <v>73</v>
      </c>
      <c r="C72" s="20">
        <v>2</v>
      </c>
      <c r="D72" s="20"/>
      <c r="E72" s="20"/>
      <c r="F72" s="20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>
        <v>1</v>
      </c>
      <c r="Y72" s="3">
        <v>1</v>
      </c>
      <c r="Z72" s="3">
        <v>1</v>
      </c>
      <c r="AA72" s="3">
        <v>2</v>
      </c>
      <c r="AB72" s="3">
        <v>2</v>
      </c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</row>
    <row r="73" spans="1:49" s="1" customFormat="1" ht="13" x14ac:dyDescent="0.3">
      <c r="A73" s="28" t="s">
        <v>259</v>
      </c>
      <c r="B73" s="23" t="s">
        <v>259</v>
      </c>
      <c r="C73" s="20">
        <v>3</v>
      </c>
      <c r="D73" s="20">
        <v>3</v>
      </c>
      <c r="E73" s="20"/>
      <c r="F73" s="20">
        <v>3</v>
      </c>
      <c r="G73" s="3"/>
      <c r="H73" s="3"/>
      <c r="I73" s="3">
        <v>1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</row>
    <row r="74" spans="1:49" s="1" customFormat="1" ht="13" x14ac:dyDescent="0.3">
      <c r="A74" s="28" t="s">
        <v>74</v>
      </c>
      <c r="B74" s="23" t="s">
        <v>74</v>
      </c>
      <c r="C74" s="20"/>
      <c r="D74" s="20"/>
      <c r="E74" s="20"/>
      <c r="F74" s="20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>
        <v>4</v>
      </c>
      <c r="AE74" s="3">
        <v>1</v>
      </c>
      <c r="AF74" s="3">
        <v>1</v>
      </c>
      <c r="AG74" s="3"/>
      <c r="AH74" s="3"/>
      <c r="AI74" s="3"/>
      <c r="AJ74" s="3">
        <v>2</v>
      </c>
      <c r="AK74" s="3"/>
      <c r="AL74" s="3">
        <v>2</v>
      </c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</row>
    <row r="75" spans="1:49" s="1" customFormat="1" ht="13" x14ac:dyDescent="0.3">
      <c r="A75" s="28" t="s">
        <v>260</v>
      </c>
      <c r="B75" s="23" t="s">
        <v>260</v>
      </c>
      <c r="C75" s="20"/>
      <c r="D75" s="20"/>
      <c r="E75" s="20"/>
      <c r="F75" s="20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>
        <v>1</v>
      </c>
      <c r="AO75" s="3"/>
      <c r="AP75" s="3"/>
      <c r="AQ75" s="3"/>
      <c r="AR75" s="3"/>
      <c r="AS75" s="3"/>
      <c r="AT75" s="3">
        <v>1</v>
      </c>
      <c r="AU75" s="3">
        <v>4</v>
      </c>
      <c r="AV75" s="3"/>
      <c r="AW75" s="3"/>
    </row>
    <row r="76" spans="1:49" s="1" customFormat="1" ht="13" x14ac:dyDescent="0.3">
      <c r="A76" s="28" t="s">
        <v>75</v>
      </c>
      <c r="B76" s="23" t="s">
        <v>75</v>
      </c>
      <c r="C76" s="20"/>
      <c r="D76" s="20"/>
      <c r="E76" s="20"/>
      <c r="F76" s="20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>
        <v>1</v>
      </c>
      <c r="T76" s="3"/>
      <c r="U76" s="3">
        <v>1</v>
      </c>
      <c r="V76" s="3">
        <v>3</v>
      </c>
      <c r="W76" s="3">
        <v>1</v>
      </c>
      <c r="X76" s="3">
        <v>1</v>
      </c>
      <c r="Y76" s="3"/>
      <c r="Z76" s="3"/>
      <c r="AA76" s="3">
        <v>1</v>
      </c>
      <c r="AB76" s="3">
        <v>1</v>
      </c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</row>
    <row r="77" spans="1:49" s="1" customFormat="1" ht="13" x14ac:dyDescent="0.3">
      <c r="A77" s="28" t="s">
        <v>261</v>
      </c>
      <c r="B77" s="23" t="s">
        <v>261</v>
      </c>
      <c r="C77" s="20"/>
      <c r="D77" s="20"/>
      <c r="E77" s="20"/>
      <c r="F77" s="20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>
        <v>1</v>
      </c>
      <c r="AV77" s="3"/>
      <c r="AW77" s="3"/>
    </row>
    <row r="78" spans="1:49" s="1" customFormat="1" ht="13" x14ac:dyDescent="0.3">
      <c r="A78" s="28" t="s">
        <v>262</v>
      </c>
      <c r="B78" s="23" t="s">
        <v>262</v>
      </c>
      <c r="C78" s="20"/>
      <c r="D78" s="20"/>
      <c r="E78" s="20"/>
      <c r="F78" s="20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>
        <v>4</v>
      </c>
      <c r="AQ78" s="3"/>
      <c r="AR78" s="3"/>
      <c r="AS78" s="3"/>
      <c r="AT78" s="3"/>
      <c r="AU78" s="3"/>
      <c r="AV78" s="3"/>
      <c r="AW78" s="3"/>
    </row>
    <row r="79" spans="1:49" s="1" customFormat="1" ht="13" x14ac:dyDescent="0.3">
      <c r="A79" s="28" t="s">
        <v>263</v>
      </c>
      <c r="B79" s="23" t="s">
        <v>263</v>
      </c>
      <c r="C79" s="20"/>
      <c r="D79" s="20"/>
      <c r="E79" s="20"/>
      <c r="F79" s="20"/>
      <c r="G79" s="3"/>
      <c r="H79" s="3"/>
      <c r="I79" s="3"/>
      <c r="J79" s="3"/>
      <c r="K79" s="3">
        <v>1</v>
      </c>
      <c r="L79" s="3"/>
      <c r="M79" s="3"/>
      <c r="N79" s="3"/>
      <c r="O79" s="3"/>
      <c r="P79" s="3">
        <v>1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>
        <v>1</v>
      </c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</row>
    <row r="80" spans="1:49" s="1" customFormat="1" ht="13" x14ac:dyDescent="0.3">
      <c r="A80" s="28" t="s">
        <v>264</v>
      </c>
      <c r="B80" s="23" t="s">
        <v>264</v>
      </c>
      <c r="C80" s="20"/>
      <c r="D80" s="20"/>
      <c r="E80" s="20"/>
      <c r="F80" s="20"/>
      <c r="G80" s="3"/>
      <c r="H80" s="3"/>
      <c r="I80" s="3"/>
      <c r="J80" s="3"/>
      <c r="K80" s="3">
        <v>1</v>
      </c>
      <c r="L80" s="3"/>
      <c r="M80" s="3"/>
      <c r="N80" s="3"/>
      <c r="O80" s="3"/>
      <c r="P80" s="3">
        <v>1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>
        <v>1</v>
      </c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</row>
    <row r="81" spans="1:205" s="1" customFormat="1" ht="13" x14ac:dyDescent="0.3">
      <c r="A81" s="28" t="s">
        <v>265</v>
      </c>
      <c r="B81" s="23" t="s">
        <v>265</v>
      </c>
      <c r="C81" s="20"/>
      <c r="D81" s="20"/>
      <c r="E81" s="20"/>
      <c r="F81" s="20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>
        <v>1</v>
      </c>
      <c r="AO81" s="3"/>
      <c r="AP81" s="3">
        <v>4</v>
      </c>
      <c r="AQ81" s="3">
        <v>1</v>
      </c>
      <c r="AR81" s="3"/>
      <c r="AS81" s="3"/>
      <c r="AT81" s="3">
        <v>1</v>
      </c>
      <c r="AU81" s="3"/>
      <c r="AV81" s="3"/>
      <c r="AW81" s="3"/>
    </row>
    <row r="82" spans="1:205" s="1" customFormat="1" ht="13" x14ac:dyDescent="0.3">
      <c r="A82" s="28" t="s">
        <v>76</v>
      </c>
      <c r="B82" s="23" t="s">
        <v>76</v>
      </c>
      <c r="C82" s="20"/>
      <c r="D82" s="20"/>
      <c r="E82" s="20"/>
      <c r="F82" s="20"/>
      <c r="G82" s="3"/>
      <c r="H82" s="3"/>
      <c r="I82" s="3"/>
      <c r="J82" s="3"/>
      <c r="K82" s="3">
        <v>1</v>
      </c>
      <c r="L82" s="3"/>
      <c r="M82" s="3"/>
      <c r="N82" s="3"/>
      <c r="O82" s="3"/>
      <c r="P82" s="3">
        <v>2</v>
      </c>
      <c r="Q82" s="3"/>
      <c r="R82" s="3"/>
      <c r="S82" s="3"/>
      <c r="T82" s="3">
        <v>1</v>
      </c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>
        <v>1</v>
      </c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</row>
    <row r="83" spans="1:205" s="1" customFormat="1" ht="13" x14ac:dyDescent="0.3">
      <c r="A83" s="28" t="s">
        <v>77</v>
      </c>
      <c r="B83" s="23" t="s">
        <v>77</v>
      </c>
      <c r="C83" s="20"/>
      <c r="D83" s="20"/>
      <c r="E83" s="20"/>
      <c r="F83" s="20"/>
      <c r="G83" s="3">
        <v>2</v>
      </c>
      <c r="H83" s="3"/>
      <c r="I83" s="3">
        <v>2</v>
      </c>
      <c r="J83" s="3"/>
      <c r="K83" s="3"/>
      <c r="L83" s="3"/>
      <c r="M83" s="3"/>
      <c r="N83" s="3"/>
      <c r="O83" s="3"/>
      <c r="P83" s="3"/>
      <c r="Q83" s="3">
        <v>3</v>
      </c>
      <c r="R83" s="3"/>
      <c r="S83" s="3"/>
      <c r="T83" s="3"/>
      <c r="U83" s="3"/>
      <c r="V83" s="3"/>
      <c r="W83" s="3">
        <v>1</v>
      </c>
      <c r="X83" s="3">
        <v>1</v>
      </c>
      <c r="Y83" s="3">
        <v>1</v>
      </c>
      <c r="Z83" s="3">
        <v>1</v>
      </c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</row>
    <row r="84" spans="1:205" s="1" customFormat="1" ht="13" x14ac:dyDescent="0.3">
      <c r="A84" s="28" t="s">
        <v>78</v>
      </c>
      <c r="B84" s="23" t="s">
        <v>78</v>
      </c>
      <c r="C84" s="20">
        <v>3</v>
      </c>
      <c r="D84" s="20"/>
      <c r="E84" s="20"/>
      <c r="F84" s="20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>
        <v>1</v>
      </c>
      <c r="X84" s="3">
        <v>1</v>
      </c>
      <c r="Y84" s="3"/>
      <c r="Z84" s="3"/>
      <c r="AA84" s="3">
        <v>3</v>
      </c>
      <c r="AB84" s="3">
        <v>3</v>
      </c>
      <c r="AC84" s="3"/>
      <c r="AD84" s="3"/>
      <c r="AE84" s="3">
        <v>2</v>
      </c>
      <c r="AF84" s="3"/>
      <c r="AG84" s="3"/>
      <c r="AH84" s="3"/>
      <c r="AI84" s="3">
        <v>2</v>
      </c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</row>
    <row r="85" spans="1:205" s="1" customFormat="1" ht="13" x14ac:dyDescent="0.3">
      <c r="A85" s="28" t="s">
        <v>266</v>
      </c>
      <c r="B85" s="23" t="s">
        <v>266</v>
      </c>
      <c r="C85" s="20">
        <v>1</v>
      </c>
      <c r="D85" s="20"/>
      <c r="E85" s="20"/>
      <c r="F85" s="20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>
        <v>1</v>
      </c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1</v>
      </c>
      <c r="AK85" s="3"/>
      <c r="AL85" s="3">
        <v>1</v>
      </c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</row>
    <row r="86" spans="1:205" s="1" customFormat="1" ht="13" x14ac:dyDescent="0.3">
      <c r="A86" s="28" t="s">
        <v>267</v>
      </c>
      <c r="B86" s="23" t="s">
        <v>267</v>
      </c>
      <c r="C86" s="20"/>
      <c r="D86" s="20"/>
      <c r="E86" s="20"/>
      <c r="F86" s="20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>
        <v>1</v>
      </c>
      <c r="AO86" s="3"/>
      <c r="AP86" s="3">
        <v>1</v>
      </c>
      <c r="AQ86" s="3">
        <v>4</v>
      </c>
      <c r="AR86" s="3">
        <v>1</v>
      </c>
      <c r="AS86" s="3"/>
      <c r="AT86" s="3"/>
      <c r="AU86" s="3">
        <v>1</v>
      </c>
      <c r="AV86" s="3"/>
      <c r="AW86" s="3"/>
    </row>
    <row r="87" spans="1:205" s="1" customFormat="1" ht="13" x14ac:dyDescent="0.3">
      <c r="A87" s="28" t="s">
        <v>79</v>
      </c>
      <c r="B87" s="23" t="s">
        <v>79</v>
      </c>
      <c r="C87" s="20">
        <v>2</v>
      </c>
      <c r="D87" s="20"/>
      <c r="E87" s="20"/>
      <c r="F87" s="20"/>
      <c r="G87" s="3"/>
      <c r="H87" s="3"/>
      <c r="I87" s="3"/>
      <c r="J87" s="3"/>
      <c r="K87" s="3">
        <v>3</v>
      </c>
      <c r="L87" s="3"/>
      <c r="M87" s="3"/>
      <c r="N87" s="3"/>
      <c r="O87" s="3"/>
      <c r="P87" s="3">
        <v>3</v>
      </c>
      <c r="Q87" s="3"/>
      <c r="R87" s="3"/>
      <c r="S87" s="3"/>
      <c r="T87" s="3"/>
      <c r="U87" s="3"/>
      <c r="V87" s="3"/>
      <c r="W87" s="3">
        <v>1</v>
      </c>
      <c r="X87" s="3">
        <v>1</v>
      </c>
      <c r="Y87" s="3">
        <v>1</v>
      </c>
      <c r="Z87" s="3">
        <v>1</v>
      </c>
      <c r="AA87" s="3">
        <v>1</v>
      </c>
      <c r="AB87" s="3">
        <v>1</v>
      </c>
      <c r="AC87" s="3"/>
      <c r="AD87" s="3"/>
      <c r="AE87" s="3"/>
      <c r="AF87" s="3">
        <v>1</v>
      </c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</row>
    <row r="88" spans="1:205" s="1" customFormat="1" ht="13" x14ac:dyDescent="0.3">
      <c r="A88" s="28" t="s">
        <v>80</v>
      </c>
      <c r="B88" s="23" t="s">
        <v>80</v>
      </c>
      <c r="C88" s="20"/>
      <c r="D88" s="20"/>
      <c r="E88" s="20"/>
      <c r="F88" s="20"/>
      <c r="G88" s="3"/>
      <c r="H88" s="3"/>
      <c r="I88" s="3"/>
      <c r="J88" s="3"/>
      <c r="K88" s="3">
        <v>2</v>
      </c>
      <c r="L88" s="3"/>
      <c r="M88" s="3"/>
      <c r="N88" s="3"/>
      <c r="O88" s="3"/>
      <c r="P88" s="3">
        <v>2</v>
      </c>
      <c r="Q88" s="3"/>
      <c r="R88" s="3"/>
      <c r="S88" s="3">
        <v>3</v>
      </c>
      <c r="T88" s="3">
        <v>3</v>
      </c>
      <c r="U88" s="3"/>
      <c r="V88" s="3"/>
      <c r="W88" s="3"/>
      <c r="X88" s="3">
        <v>1</v>
      </c>
      <c r="Y88" s="3">
        <v>1</v>
      </c>
      <c r="Z88" s="3">
        <v>1</v>
      </c>
      <c r="AA88" s="3">
        <v>4</v>
      </c>
      <c r="AB88" s="3">
        <v>4</v>
      </c>
      <c r="AC88" s="3"/>
      <c r="AD88" s="3"/>
      <c r="AE88" s="3"/>
      <c r="AF88" s="3">
        <v>2</v>
      </c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</row>
    <row r="89" spans="1:205" s="1" customFormat="1" ht="13" x14ac:dyDescent="0.3">
      <c r="A89" s="28" t="s">
        <v>81</v>
      </c>
      <c r="B89" s="23" t="s">
        <v>81</v>
      </c>
      <c r="C89" s="20"/>
      <c r="D89" s="20"/>
      <c r="E89" s="20"/>
      <c r="F89" s="20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>
        <v>3</v>
      </c>
      <c r="X89" s="3">
        <v>3</v>
      </c>
      <c r="Y89" s="3">
        <v>3</v>
      </c>
      <c r="Z89" s="3">
        <v>3</v>
      </c>
      <c r="AA89" s="3">
        <v>3</v>
      </c>
      <c r="AB89" s="3">
        <v>3</v>
      </c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</row>
    <row r="90" spans="1:205" s="1" customFormat="1" ht="13" x14ac:dyDescent="0.3">
      <c r="A90" s="28" t="s">
        <v>268</v>
      </c>
      <c r="B90" s="23" t="s">
        <v>268</v>
      </c>
      <c r="C90" s="20"/>
      <c r="D90" s="20"/>
      <c r="E90" s="20"/>
      <c r="F90" s="20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>
        <v>1</v>
      </c>
      <c r="T90" s="3">
        <v>1</v>
      </c>
      <c r="U90" s="3"/>
      <c r="V90" s="3">
        <v>3</v>
      </c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>
        <v>1</v>
      </c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</row>
    <row r="91" spans="1:205" s="1" customFormat="1" ht="13" x14ac:dyDescent="0.3">
      <c r="A91" s="28" t="s">
        <v>82</v>
      </c>
      <c r="B91" s="23" t="s">
        <v>82</v>
      </c>
      <c r="C91" s="20"/>
      <c r="D91" s="20"/>
      <c r="E91" s="20"/>
      <c r="F91" s="20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>
        <v>3</v>
      </c>
      <c r="W91" s="3">
        <v>1</v>
      </c>
      <c r="X91" s="3">
        <v>1</v>
      </c>
      <c r="Y91" s="3"/>
      <c r="Z91" s="3"/>
      <c r="AA91" s="3">
        <v>1</v>
      </c>
      <c r="AB91" s="3">
        <v>1</v>
      </c>
      <c r="AC91" s="3"/>
      <c r="AD91" s="3"/>
      <c r="AE91" s="3">
        <v>4</v>
      </c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GT91" s="4"/>
      <c r="GU91" s="4"/>
      <c r="GV91" s="4"/>
      <c r="GW91" s="4"/>
    </row>
    <row r="92" spans="1:205" s="1" customFormat="1" ht="13" x14ac:dyDescent="0.3">
      <c r="A92" s="28" t="s">
        <v>269</v>
      </c>
      <c r="B92" s="23" t="s">
        <v>269</v>
      </c>
      <c r="C92" s="20"/>
      <c r="D92" s="20"/>
      <c r="E92" s="20"/>
      <c r="F92" s="20"/>
      <c r="G92" s="3"/>
      <c r="H92" s="3"/>
      <c r="I92" s="3"/>
      <c r="J92" s="3"/>
      <c r="K92" s="3"/>
      <c r="L92" s="3">
        <v>1</v>
      </c>
      <c r="M92" s="3"/>
      <c r="N92" s="3">
        <v>1</v>
      </c>
      <c r="O92" s="3">
        <v>1</v>
      </c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>
        <v>1</v>
      </c>
      <c r="AH92" s="3"/>
      <c r="AI92" s="3"/>
      <c r="AJ92" s="3"/>
      <c r="AK92" s="3">
        <v>1</v>
      </c>
      <c r="AL92" s="3">
        <v>1</v>
      </c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GT92" s="4"/>
      <c r="GU92" s="4"/>
      <c r="GV92" s="4"/>
      <c r="GW92" s="4"/>
    </row>
    <row r="93" spans="1:205" s="1" customFormat="1" ht="13" x14ac:dyDescent="0.3">
      <c r="A93" s="28" t="s">
        <v>270</v>
      </c>
      <c r="B93" s="23" t="s">
        <v>270</v>
      </c>
      <c r="C93" s="20">
        <v>1</v>
      </c>
      <c r="D93" s="20"/>
      <c r="E93" s="20"/>
      <c r="F93" s="20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>
        <v>1</v>
      </c>
      <c r="X93" s="3"/>
      <c r="Y93" s="3"/>
      <c r="Z93" s="3"/>
      <c r="AA93" s="3">
        <v>4</v>
      </c>
      <c r="AB93" s="3">
        <v>4</v>
      </c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>
        <v>1</v>
      </c>
      <c r="AV93" s="3"/>
      <c r="AW93" s="3"/>
      <c r="GT93" s="4"/>
      <c r="GU93" s="4"/>
      <c r="GV93" s="4"/>
      <c r="GW93" s="4"/>
    </row>
    <row r="94" spans="1:205" s="1" customFormat="1" ht="13" x14ac:dyDescent="0.3">
      <c r="A94" s="28" t="s">
        <v>84</v>
      </c>
      <c r="B94" s="23" t="s">
        <v>84</v>
      </c>
      <c r="C94" s="20"/>
      <c r="D94" s="20"/>
      <c r="E94" s="20"/>
      <c r="F94" s="20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>
        <v>2</v>
      </c>
      <c r="Y94" s="3">
        <v>1</v>
      </c>
      <c r="Z94" s="3">
        <v>2</v>
      </c>
      <c r="AA94" s="3">
        <v>1</v>
      </c>
      <c r="AB94" s="3">
        <v>1</v>
      </c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GT94" s="4"/>
      <c r="GU94" s="4"/>
      <c r="GV94" s="4"/>
      <c r="GW94" s="4"/>
    </row>
    <row r="95" spans="1:205" s="1" customFormat="1" ht="13" x14ac:dyDescent="0.3">
      <c r="A95" s="28" t="s">
        <v>272</v>
      </c>
      <c r="B95" s="23" t="s">
        <v>272</v>
      </c>
      <c r="C95" s="20"/>
      <c r="D95" s="20"/>
      <c r="E95" s="20"/>
      <c r="F95" s="20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>
        <v>1</v>
      </c>
      <c r="AU95" s="3"/>
      <c r="AV95" s="3"/>
      <c r="AW95" s="3"/>
      <c r="GT95" s="4"/>
      <c r="GU95" s="4"/>
      <c r="GV95" s="4"/>
      <c r="GW95" s="4"/>
    </row>
    <row r="96" spans="1:205" s="1" customFormat="1" ht="13" x14ac:dyDescent="0.3">
      <c r="A96" s="28" t="s">
        <v>273</v>
      </c>
      <c r="B96" s="23" t="s">
        <v>273</v>
      </c>
      <c r="C96" s="20">
        <v>3</v>
      </c>
      <c r="D96" s="20">
        <v>3</v>
      </c>
      <c r="E96" s="20">
        <v>1</v>
      </c>
      <c r="F96" s="20">
        <v>1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>
        <v>4</v>
      </c>
      <c r="AQ96" s="3"/>
      <c r="AR96" s="3"/>
      <c r="AS96" s="3"/>
      <c r="AT96" s="3"/>
      <c r="AU96" s="3"/>
      <c r="AV96" s="3"/>
      <c r="AW96" s="3"/>
      <c r="GV96" s="4"/>
      <c r="GW96" s="4"/>
    </row>
    <row r="97" spans="1:205" s="1" customFormat="1" ht="13" x14ac:dyDescent="0.3">
      <c r="A97" s="28" t="s">
        <v>274</v>
      </c>
      <c r="B97" s="23" t="s">
        <v>274</v>
      </c>
      <c r="C97" s="20"/>
      <c r="D97" s="20"/>
      <c r="E97" s="20"/>
      <c r="F97" s="20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>
        <v>1</v>
      </c>
      <c r="AU97" s="3">
        <v>1</v>
      </c>
      <c r="AV97" s="3"/>
      <c r="AW97" s="3"/>
      <c r="GV97" s="4"/>
      <c r="GW97" s="4"/>
    </row>
    <row r="98" spans="1:205" s="1" customFormat="1" ht="13" x14ac:dyDescent="0.3">
      <c r="A98" s="29" t="s">
        <v>275</v>
      </c>
      <c r="B98" s="22" t="s">
        <v>275</v>
      </c>
      <c r="C98" s="3">
        <v>3</v>
      </c>
      <c r="D98" s="3">
        <v>3</v>
      </c>
      <c r="E98" s="3"/>
      <c r="F98" s="3">
        <v>3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GV98" s="4"/>
      <c r="GW98" s="4"/>
    </row>
    <row r="99" spans="1:205" s="1" customFormat="1" ht="13" x14ac:dyDescent="0.3">
      <c r="A99" s="29" t="s">
        <v>85</v>
      </c>
      <c r="B99" s="22" t="s">
        <v>85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>
        <v>2</v>
      </c>
      <c r="AM99" s="3">
        <v>4</v>
      </c>
      <c r="AN99" s="3"/>
      <c r="AO99" s="3"/>
      <c r="AP99" s="3"/>
      <c r="AQ99" s="3"/>
      <c r="AR99" s="3"/>
      <c r="AS99" s="3"/>
      <c r="AT99" s="3"/>
      <c r="AU99" s="3"/>
      <c r="AV99" s="3"/>
      <c r="AW99" s="3"/>
      <c r="GV99" s="4"/>
      <c r="GW99" s="4"/>
    </row>
    <row r="100" spans="1:205" s="1" customFormat="1" ht="13" x14ac:dyDescent="0.3">
      <c r="A100" s="29" t="s">
        <v>276</v>
      </c>
      <c r="B100" s="22" t="s">
        <v>276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>
        <v>1</v>
      </c>
      <c r="AO100" s="3"/>
      <c r="AP100" s="3"/>
      <c r="AQ100" s="3"/>
      <c r="AR100" s="3"/>
      <c r="AS100" s="3"/>
      <c r="AT100" s="3"/>
      <c r="AU100" s="3"/>
      <c r="AV100" s="3"/>
      <c r="AW100" s="3"/>
      <c r="GV100" s="4"/>
      <c r="GW100" s="4"/>
    </row>
    <row r="101" spans="1:205" s="1" customFormat="1" ht="13" x14ac:dyDescent="0.3">
      <c r="A101" s="29" t="s">
        <v>87</v>
      </c>
      <c r="B101" s="22" t="s">
        <v>87</v>
      </c>
      <c r="C101" s="3">
        <v>3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>
        <v>1</v>
      </c>
      <c r="X101" s="3">
        <v>3</v>
      </c>
      <c r="Y101" s="3">
        <v>1</v>
      </c>
      <c r="Z101" s="3">
        <v>3</v>
      </c>
      <c r="AA101" s="3">
        <v>1</v>
      </c>
      <c r="AB101" s="3">
        <v>1</v>
      </c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GV101" s="4"/>
      <c r="GW101" s="4"/>
    </row>
    <row r="102" spans="1:205" s="1" customFormat="1" ht="13" x14ac:dyDescent="0.3">
      <c r="A102" s="29" t="s">
        <v>88</v>
      </c>
      <c r="B102" s="22" t="s">
        <v>88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>
        <v>3</v>
      </c>
      <c r="X102" s="3"/>
      <c r="Y102" s="3">
        <v>3</v>
      </c>
      <c r="Z102" s="3">
        <v>2</v>
      </c>
      <c r="AA102" s="3">
        <v>2</v>
      </c>
      <c r="AB102" s="3">
        <v>2</v>
      </c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>
        <v>1</v>
      </c>
      <c r="AQ102" s="3"/>
      <c r="AR102" s="3"/>
      <c r="AS102" s="3"/>
      <c r="AT102" s="3"/>
      <c r="AU102" s="3">
        <v>4</v>
      </c>
      <c r="AV102" s="3"/>
      <c r="AW102" s="3"/>
      <c r="GV102" s="4"/>
      <c r="GW102" s="4"/>
    </row>
    <row r="103" spans="1:205" s="1" customFormat="1" ht="13" x14ac:dyDescent="0.3">
      <c r="A103" s="29" t="s">
        <v>277</v>
      </c>
      <c r="B103" s="22" t="s">
        <v>277</v>
      </c>
      <c r="C103" s="3">
        <v>3</v>
      </c>
      <c r="D103" s="3">
        <v>3</v>
      </c>
      <c r="E103" s="3">
        <v>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GV103" s="4"/>
      <c r="GW103" s="4"/>
    </row>
    <row r="104" spans="1:205" s="1" customFormat="1" ht="13" x14ac:dyDescent="0.3">
      <c r="A104" s="29" t="s">
        <v>278</v>
      </c>
      <c r="B104" s="22" t="s">
        <v>278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>
        <v>1</v>
      </c>
      <c r="AQ104" s="3"/>
      <c r="AR104" s="3"/>
      <c r="AS104" s="3"/>
      <c r="AT104" s="3"/>
      <c r="AU104" s="3">
        <v>1</v>
      </c>
      <c r="AV104" s="3"/>
      <c r="AW104" s="3"/>
      <c r="GV104" s="4"/>
      <c r="GW104" s="4"/>
    </row>
    <row r="105" spans="1:205" s="1" customFormat="1" ht="13" x14ac:dyDescent="0.3">
      <c r="A105" s="29" t="s">
        <v>279</v>
      </c>
      <c r="B105" s="22" t="s">
        <v>279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>
        <v>1</v>
      </c>
      <c r="AV105" s="3"/>
      <c r="AW105" s="3"/>
      <c r="GV105" s="4"/>
      <c r="GW105" s="4"/>
    </row>
    <row r="106" spans="1:205" s="1" customFormat="1" ht="13" x14ac:dyDescent="0.3">
      <c r="A106" s="29" t="s">
        <v>89</v>
      </c>
      <c r="B106" s="22" t="s">
        <v>89</v>
      </c>
      <c r="C106" s="3"/>
      <c r="D106" s="3"/>
      <c r="E106" s="3"/>
      <c r="F106" s="3"/>
      <c r="G106" s="3">
        <v>4</v>
      </c>
      <c r="H106" s="3">
        <v>1</v>
      </c>
      <c r="I106" s="3"/>
      <c r="J106" s="3"/>
      <c r="K106" s="3"/>
      <c r="L106" s="3"/>
      <c r="M106" s="3"/>
      <c r="N106" s="3"/>
      <c r="O106" s="3"/>
      <c r="P106" s="3"/>
      <c r="Q106" s="3">
        <v>3</v>
      </c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GV106" s="4"/>
      <c r="GW106" s="4"/>
    </row>
    <row r="107" spans="1:205" s="4" customFormat="1" ht="13" x14ac:dyDescent="0.3">
      <c r="A107" s="29" t="s">
        <v>90</v>
      </c>
      <c r="B107" s="22" t="s">
        <v>90</v>
      </c>
      <c r="C107" s="3">
        <v>1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>
        <v>2</v>
      </c>
      <c r="Q107" s="3"/>
      <c r="R107" s="3"/>
      <c r="S107" s="3"/>
      <c r="T107" s="3"/>
      <c r="U107" s="3"/>
      <c r="V107" s="3"/>
      <c r="W107" s="3">
        <v>1</v>
      </c>
      <c r="X107" s="3">
        <v>1</v>
      </c>
      <c r="Y107" s="3"/>
      <c r="Z107" s="3"/>
      <c r="AA107" s="3">
        <v>1</v>
      </c>
      <c r="AB107" s="3">
        <v>1</v>
      </c>
      <c r="AC107" s="3"/>
      <c r="AD107" s="3"/>
      <c r="AE107" s="3">
        <v>1</v>
      </c>
      <c r="AF107" s="3">
        <v>2</v>
      </c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</row>
    <row r="108" spans="1:205" s="4" customFormat="1" ht="13" x14ac:dyDescent="0.3">
      <c r="A108" s="29" t="s">
        <v>280</v>
      </c>
      <c r="B108" s="22" t="s">
        <v>280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>
        <v>1</v>
      </c>
      <c r="AO108" s="3">
        <v>1</v>
      </c>
      <c r="AP108" s="3">
        <v>1</v>
      </c>
      <c r="AQ108" s="3">
        <v>1</v>
      </c>
      <c r="AR108" s="3">
        <v>1</v>
      </c>
      <c r="AS108" s="3"/>
      <c r="AT108" s="3"/>
      <c r="AU108" s="3">
        <v>1</v>
      </c>
      <c r="AV108" s="3"/>
      <c r="AW108" s="3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</row>
    <row r="109" spans="1:205" s="4" customFormat="1" ht="13" x14ac:dyDescent="0.3">
      <c r="A109" s="29" t="s">
        <v>281</v>
      </c>
      <c r="B109" s="22" t="s">
        <v>281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>
        <v>1</v>
      </c>
      <c r="AO109" s="3"/>
      <c r="AP109" s="3"/>
      <c r="AQ109" s="3"/>
      <c r="AR109" s="3">
        <v>1</v>
      </c>
      <c r="AS109" s="3"/>
      <c r="AT109" s="3"/>
      <c r="AU109" s="3"/>
      <c r="AV109" s="3"/>
      <c r="AW109" s="3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</row>
    <row r="110" spans="1:205" s="4" customFormat="1" ht="13" x14ac:dyDescent="0.3">
      <c r="A110" s="29" t="s">
        <v>282</v>
      </c>
      <c r="B110" s="22" t="s">
        <v>282</v>
      </c>
      <c r="C110" s="3"/>
      <c r="D110" s="3"/>
      <c r="E110" s="3"/>
      <c r="F110" s="3"/>
      <c r="G110" s="3"/>
      <c r="H110" s="3"/>
      <c r="I110" s="3"/>
      <c r="J110" s="3"/>
      <c r="K110" s="3">
        <v>3</v>
      </c>
      <c r="L110" s="3"/>
      <c r="M110" s="3"/>
      <c r="N110" s="3"/>
      <c r="O110" s="3"/>
      <c r="P110" s="3">
        <v>3</v>
      </c>
      <c r="Q110" s="3"/>
      <c r="R110" s="3"/>
      <c r="S110" s="3"/>
      <c r="T110" s="3"/>
      <c r="U110" s="3"/>
      <c r="V110" s="3">
        <v>2</v>
      </c>
      <c r="W110" s="3"/>
      <c r="X110" s="3"/>
      <c r="Y110" s="3"/>
      <c r="Z110" s="3"/>
      <c r="AA110" s="3"/>
      <c r="AB110" s="3"/>
      <c r="AC110" s="3"/>
      <c r="AD110" s="3"/>
      <c r="AE110" s="3"/>
      <c r="AF110" s="3">
        <v>1</v>
      </c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</row>
    <row r="111" spans="1:205" s="4" customFormat="1" ht="13" x14ac:dyDescent="0.3">
      <c r="A111" s="29" t="s">
        <v>283</v>
      </c>
      <c r="B111" s="22" t="s">
        <v>283</v>
      </c>
      <c r="C111" s="3"/>
      <c r="D111" s="3"/>
      <c r="E111" s="3">
        <v>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</row>
    <row r="112" spans="1:205" s="4" customFormat="1" ht="13" x14ac:dyDescent="0.3">
      <c r="A112" s="29" t="s">
        <v>91</v>
      </c>
      <c r="B112" s="22" t="s">
        <v>91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>
        <v>1</v>
      </c>
      <c r="T112" s="3"/>
      <c r="U112" s="3">
        <v>1</v>
      </c>
      <c r="V112" s="3"/>
      <c r="W112" s="3">
        <v>3</v>
      </c>
      <c r="X112" s="3">
        <v>3</v>
      </c>
      <c r="Y112" s="3">
        <v>3</v>
      </c>
      <c r="Z112" s="3">
        <v>3</v>
      </c>
      <c r="AA112" s="3">
        <v>3</v>
      </c>
      <c r="AB112" s="3">
        <v>3</v>
      </c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</row>
    <row r="113" spans="1:205" s="4" customFormat="1" ht="13" x14ac:dyDescent="0.3">
      <c r="A113" s="29" t="s">
        <v>92</v>
      </c>
      <c r="B113" s="22" t="s">
        <v>92</v>
      </c>
      <c r="C113" s="3"/>
      <c r="D113" s="3"/>
      <c r="E113" s="3"/>
      <c r="F113" s="3"/>
      <c r="G113" s="3"/>
      <c r="H113" s="3"/>
      <c r="I113" s="3"/>
      <c r="J113" s="3"/>
      <c r="K113" s="3">
        <v>3</v>
      </c>
      <c r="L113" s="3"/>
      <c r="M113" s="3"/>
      <c r="N113" s="3"/>
      <c r="O113" s="3"/>
      <c r="P113" s="3">
        <v>3</v>
      </c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>
        <v>3</v>
      </c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</row>
    <row r="114" spans="1:205" s="4" customFormat="1" ht="13" x14ac:dyDescent="0.3">
      <c r="A114" s="29" t="s">
        <v>94</v>
      </c>
      <c r="B114" s="22" t="s">
        <v>94</v>
      </c>
      <c r="C114" s="3">
        <v>3</v>
      </c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1</v>
      </c>
      <c r="AK114" s="3"/>
      <c r="AL114" s="3">
        <v>2</v>
      </c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</row>
    <row r="115" spans="1:205" s="4" customFormat="1" ht="13" x14ac:dyDescent="0.3">
      <c r="A115" s="29" t="s">
        <v>95</v>
      </c>
      <c r="B115" s="22" t="s">
        <v>95</v>
      </c>
      <c r="C115" s="3">
        <v>2</v>
      </c>
      <c r="D115" s="3"/>
      <c r="E115" s="3"/>
      <c r="F115" s="3"/>
      <c r="G115" s="3">
        <v>2</v>
      </c>
      <c r="H115" s="3"/>
      <c r="I115" s="3">
        <v>2</v>
      </c>
      <c r="J115" s="3"/>
      <c r="K115" s="3"/>
      <c r="L115" s="3"/>
      <c r="M115" s="3"/>
      <c r="N115" s="3"/>
      <c r="O115" s="3"/>
      <c r="P115" s="3"/>
      <c r="Q115" s="3">
        <v>3</v>
      </c>
      <c r="R115" s="3">
        <v>2</v>
      </c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>
        <v>4</v>
      </c>
      <c r="AQ115" s="3"/>
      <c r="AR115" s="3"/>
      <c r="AS115" s="3"/>
      <c r="AT115" s="3"/>
      <c r="AU115" s="3"/>
      <c r="AV115" s="3"/>
      <c r="AW115" s="3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</row>
    <row r="116" spans="1:205" s="4" customFormat="1" ht="13" x14ac:dyDescent="0.3">
      <c r="A116" s="29" t="s">
        <v>96</v>
      </c>
      <c r="B116" s="22" t="s">
        <v>96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>
        <v>2</v>
      </c>
      <c r="Z116" s="3">
        <v>2</v>
      </c>
      <c r="AA116" s="3">
        <v>2</v>
      </c>
      <c r="AB116" s="3">
        <v>2</v>
      </c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</row>
    <row r="117" spans="1:205" s="4" customFormat="1" ht="13" x14ac:dyDescent="0.3">
      <c r="A117" s="29" t="s">
        <v>97</v>
      </c>
      <c r="B117" s="22" t="s">
        <v>97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>
        <v>2</v>
      </c>
      <c r="T117" s="3"/>
      <c r="U117" s="3"/>
      <c r="V117" s="3">
        <v>3</v>
      </c>
      <c r="W117" s="3">
        <v>1</v>
      </c>
      <c r="X117" s="3">
        <v>1</v>
      </c>
      <c r="Y117" s="3"/>
      <c r="Z117" s="3"/>
      <c r="AA117" s="3">
        <v>1</v>
      </c>
      <c r="AB117" s="3">
        <v>1</v>
      </c>
      <c r="AC117" s="3"/>
      <c r="AD117" s="3"/>
      <c r="AE117" s="3">
        <v>1</v>
      </c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</row>
    <row r="118" spans="1:205" s="4" customFormat="1" ht="13" x14ac:dyDescent="0.3">
      <c r="A118" s="29" t="s">
        <v>98</v>
      </c>
      <c r="B118" s="22" t="s">
        <v>98</v>
      </c>
      <c r="C118" s="3"/>
      <c r="D118" s="3"/>
      <c r="E118" s="3"/>
      <c r="F118" s="3"/>
      <c r="G118" s="3">
        <v>1</v>
      </c>
      <c r="H118" s="3"/>
      <c r="I118" s="3">
        <v>2</v>
      </c>
      <c r="J118" s="3"/>
      <c r="K118" s="3">
        <v>3</v>
      </c>
      <c r="L118" s="3">
        <v>3</v>
      </c>
      <c r="M118" s="3"/>
      <c r="N118" s="3">
        <v>3</v>
      </c>
      <c r="O118" s="3">
        <v>3</v>
      </c>
      <c r="P118" s="3">
        <v>3</v>
      </c>
      <c r="Q118" s="3"/>
      <c r="R118" s="3">
        <v>1</v>
      </c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>
        <v>3</v>
      </c>
      <c r="AH118" s="3"/>
      <c r="AI118" s="3"/>
      <c r="AJ118" s="3"/>
      <c r="AK118" s="3">
        <v>3</v>
      </c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</row>
    <row r="119" spans="1:205" s="4" customFormat="1" ht="13" x14ac:dyDescent="0.3">
      <c r="A119" s="29" t="s">
        <v>99</v>
      </c>
      <c r="B119" s="22" t="s">
        <v>99</v>
      </c>
      <c r="C119" s="3"/>
      <c r="D119" s="3"/>
      <c r="E119" s="3"/>
      <c r="F119" s="3"/>
      <c r="G119" s="3"/>
      <c r="H119" s="3"/>
      <c r="I119" s="3">
        <v>3</v>
      </c>
      <c r="J119" s="3"/>
      <c r="K119" s="3">
        <v>3</v>
      </c>
      <c r="L119" s="3">
        <v>2</v>
      </c>
      <c r="M119" s="3"/>
      <c r="N119" s="3">
        <v>2</v>
      </c>
      <c r="O119" s="3">
        <v>2</v>
      </c>
      <c r="P119" s="3">
        <v>3</v>
      </c>
      <c r="Q119" s="3"/>
      <c r="R119" s="3">
        <v>1</v>
      </c>
      <c r="S119" s="3"/>
      <c r="T119" s="3"/>
      <c r="U119" s="3"/>
      <c r="V119" s="3"/>
      <c r="W119" s="3">
        <v>3</v>
      </c>
      <c r="X119" s="3">
        <v>3</v>
      </c>
      <c r="Y119" s="3">
        <v>1</v>
      </c>
      <c r="Z119" s="3">
        <v>1</v>
      </c>
      <c r="AA119" s="3">
        <v>3</v>
      </c>
      <c r="AB119" s="3">
        <v>3</v>
      </c>
      <c r="AC119" s="3"/>
      <c r="AD119" s="3"/>
      <c r="AE119" s="3">
        <v>2</v>
      </c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</row>
    <row r="120" spans="1:205" s="4" customFormat="1" ht="13" x14ac:dyDescent="0.3">
      <c r="A120" s="29" t="s">
        <v>100</v>
      </c>
      <c r="B120" s="22" t="s">
        <v>100</v>
      </c>
      <c r="C120" s="3"/>
      <c r="D120" s="3"/>
      <c r="E120" s="3"/>
      <c r="F120" s="3"/>
      <c r="G120" s="3"/>
      <c r="H120" s="3"/>
      <c r="I120" s="3"/>
      <c r="J120" s="3"/>
      <c r="K120" s="3"/>
      <c r="L120" s="3">
        <v>2</v>
      </c>
      <c r="M120" s="3"/>
      <c r="N120" s="3">
        <v>2</v>
      </c>
      <c r="O120" s="3">
        <v>2</v>
      </c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>
        <v>2</v>
      </c>
      <c r="AH120" s="3"/>
      <c r="AI120" s="3"/>
      <c r="AJ120" s="3"/>
      <c r="AK120" s="3">
        <v>2</v>
      </c>
      <c r="AL120" s="3">
        <v>1</v>
      </c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</row>
    <row r="121" spans="1:205" s="4" customFormat="1" ht="13" x14ac:dyDescent="0.3">
      <c r="A121" s="29" t="s">
        <v>101</v>
      </c>
      <c r="B121" s="22" t="s">
        <v>101</v>
      </c>
      <c r="C121" s="3"/>
      <c r="D121" s="3"/>
      <c r="E121" s="3"/>
      <c r="F121" s="3"/>
      <c r="G121" s="3">
        <v>4</v>
      </c>
      <c r="H121" s="3"/>
      <c r="I121" s="3"/>
      <c r="J121" s="3"/>
      <c r="K121" s="3"/>
      <c r="L121" s="3"/>
      <c r="M121" s="3"/>
      <c r="N121" s="3"/>
      <c r="O121" s="3"/>
      <c r="P121" s="3">
        <v>2</v>
      </c>
      <c r="Q121" s="3"/>
      <c r="R121" s="3"/>
      <c r="S121" s="3"/>
      <c r="T121" s="3"/>
      <c r="U121" s="3"/>
      <c r="V121" s="3"/>
      <c r="W121" s="3">
        <v>2</v>
      </c>
      <c r="X121" s="3">
        <v>2</v>
      </c>
      <c r="Y121" s="3">
        <v>2</v>
      </c>
      <c r="Z121" s="3">
        <v>2</v>
      </c>
      <c r="AA121" s="3"/>
      <c r="AB121" s="3"/>
      <c r="AC121" s="3">
        <v>2</v>
      </c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</row>
    <row r="122" spans="1:205" s="4" customFormat="1" ht="13" x14ac:dyDescent="0.3">
      <c r="A122" s="29" t="s">
        <v>285</v>
      </c>
      <c r="B122" s="22" t="s">
        <v>285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>
        <v>4</v>
      </c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</row>
    <row r="123" spans="1:205" s="4" customFormat="1" ht="13" x14ac:dyDescent="0.3">
      <c r="A123" s="29" t="s">
        <v>102</v>
      </c>
      <c r="B123" s="22" t="s">
        <v>102</v>
      </c>
      <c r="C123" s="3">
        <v>1</v>
      </c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>
        <v>3</v>
      </c>
      <c r="T123" s="3"/>
      <c r="U123" s="3">
        <v>3</v>
      </c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</row>
    <row r="124" spans="1:205" s="4" customFormat="1" ht="13" x14ac:dyDescent="0.3">
      <c r="A124" s="28" t="s">
        <v>104</v>
      </c>
      <c r="B124" s="22" t="s">
        <v>104</v>
      </c>
      <c r="C124" s="3"/>
      <c r="D124" s="3"/>
      <c r="E124" s="3"/>
      <c r="F124" s="3"/>
      <c r="G124" s="3"/>
      <c r="H124" s="3">
        <v>4</v>
      </c>
      <c r="I124" s="3"/>
      <c r="J124" s="3">
        <v>1</v>
      </c>
      <c r="K124" s="3"/>
      <c r="L124" s="3"/>
      <c r="M124" s="3"/>
      <c r="N124" s="3"/>
      <c r="O124" s="3"/>
      <c r="P124" s="3"/>
      <c r="Q124" s="3">
        <v>3</v>
      </c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</row>
    <row r="125" spans="1:205" s="4" customFormat="1" ht="13" x14ac:dyDescent="0.3">
      <c r="A125" s="29" t="s">
        <v>105</v>
      </c>
      <c r="B125" s="22" t="s">
        <v>105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>
        <v>2</v>
      </c>
      <c r="Z125" s="3">
        <v>2</v>
      </c>
      <c r="AA125" s="3">
        <v>2</v>
      </c>
      <c r="AB125" s="3">
        <v>3</v>
      </c>
      <c r="AC125" s="3"/>
      <c r="AD125" s="3">
        <v>2</v>
      </c>
      <c r="AE125" s="3">
        <v>2</v>
      </c>
      <c r="AF125" s="3"/>
      <c r="AG125" s="3"/>
      <c r="AH125" s="3">
        <v>2</v>
      </c>
      <c r="AI125" s="3">
        <v>2</v>
      </c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</row>
    <row r="126" spans="1:205" s="4" customFormat="1" ht="13" x14ac:dyDescent="0.3">
      <c r="A126" s="29" t="s">
        <v>107</v>
      </c>
      <c r="B126" s="22" t="s">
        <v>107</v>
      </c>
      <c r="C126" s="3">
        <v>1</v>
      </c>
      <c r="D126" s="3"/>
      <c r="E126" s="3"/>
      <c r="F126" s="3"/>
      <c r="G126" s="3">
        <v>3</v>
      </c>
      <c r="H126" s="3"/>
      <c r="I126" s="3">
        <v>1</v>
      </c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>
        <v>1</v>
      </c>
      <c r="X126" s="3">
        <v>1</v>
      </c>
      <c r="Y126" s="3">
        <v>1</v>
      </c>
      <c r="Z126" s="3">
        <v>1</v>
      </c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</row>
    <row r="127" spans="1:205" s="4" customFormat="1" ht="13" x14ac:dyDescent="0.3">
      <c r="A127" s="29" t="s">
        <v>287</v>
      </c>
      <c r="B127" s="22" t="s">
        <v>287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>
        <v>1</v>
      </c>
      <c r="AV127" s="3"/>
      <c r="AW127" s="3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</row>
    <row r="128" spans="1:205" s="1" customFormat="1" ht="13" x14ac:dyDescent="0.3">
      <c r="A128" s="29" t="s">
        <v>288</v>
      </c>
      <c r="B128" s="22" t="s">
        <v>288</v>
      </c>
      <c r="C128" s="3"/>
      <c r="D128" s="3"/>
      <c r="E128" s="3"/>
      <c r="F128" s="3"/>
      <c r="G128" s="3"/>
      <c r="H128" s="3"/>
      <c r="I128" s="3"/>
      <c r="J128" s="3"/>
      <c r="K128" s="3">
        <v>4</v>
      </c>
      <c r="L128" s="3"/>
      <c r="M128" s="3"/>
      <c r="N128" s="3"/>
      <c r="O128" s="3"/>
      <c r="P128" s="3">
        <v>4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>
        <v>1</v>
      </c>
      <c r="AM128" s="3"/>
      <c r="AN128" s="3"/>
      <c r="AO128" s="3"/>
      <c r="AP128" s="3"/>
      <c r="AQ128" s="3"/>
      <c r="AR128" s="3"/>
      <c r="AS128" s="3"/>
      <c r="AT128" s="3"/>
      <c r="AU128" s="3">
        <v>4</v>
      </c>
      <c r="AV128" s="3"/>
      <c r="AW128" s="3"/>
    </row>
    <row r="129" spans="1:49" s="1" customFormat="1" ht="13" x14ac:dyDescent="0.3">
      <c r="A129" s="29" t="s">
        <v>108</v>
      </c>
      <c r="B129" s="22" t="s">
        <v>108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>
        <v>4</v>
      </c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1</v>
      </c>
      <c r="AK129" s="3"/>
      <c r="AL129" s="3">
        <v>3</v>
      </c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</row>
    <row r="130" spans="1:49" s="1" customFormat="1" ht="13" x14ac:dyDescent="0.3">
      <c r="A130" s="28" t="s">
        <v>109</v>
      </c>
      <c r="B130" s="23" t="s">
        <v>109</v>
      </c>
      <c r="C130" s="20">
        <v>3</v>
      </c>
      <c r="D130" s="20"/>
      <c r="E130" s="20"/>
      <c r="F130" s="20"/>
      <c r="G130" s="20">
        <v>3</v>
      </c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>
        <v>1</v>
      </c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>
        <v>1</v>
      </c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</row>
    <row r="131" spans="1:49" s="1" customFormat="1" ht="13" x14ac:dyDescent="0.3">
      <c r="A131" s="29" t="s">
        <v>110</v>
      </c>
      <c r="B131" s="22" t="s">
        <v>110</v>
      </c>
      <c r="C131" s="3"/>
      <c r="D131" s="3"/>
      <c r="E131" s="3"/>
      <c r="F131" s="3"/>
      <c r="G131" s="3"/>
      <c r="H131" s="3"/>
      <c r="I131" s="3"/>
      <c r="J131" s="3"/>
      <c r="K131" s="3">
        <v>1</v>
      </c>
      <c r="L131" s="3"/>
      <c r="M131" s="3"/>
      <c r="N131" s="3"/>
      <c r="O131" s="3"/>
      <c r="P131" s="3">
        <v>2</v>
      </c>
      <c r="Q131" s="3"/>
      <c r="R131" s="3"/>
      <c r="S131" s="3"/>
      <c r="T131" s="3"/>
      <c r="U131" s="3"/>
      <c r="V131" s="3"/>
      <c r="W131" s="3">
        <v>1</v>
      </c>
      <c r="X131" s="3">
        <v>1</v>
      </c>
      <c r="Y131" s="3"/>
      <c r="Z131" s="3"/>
      <c r="AA131" s="3"/>
      <c r="AB131" s="3"/>
      <c r="AC131" s="3"/>
      <c r="AD131" s="3">
        <v>3</v>
      </c>
      <c r="AE131" s="3">
        <v>3</v>
      </c>
      <c r="AF131" s="3">
        <v>3</v>
      </c>
      <c r="AG131" s="3"/>
      <c r="AH131" s="3">
        <v>3</v>
      </c>
      <c r="AI131" s="3">
        <v>1</v>
      </c>
      <c r="AJ131" s="3">
        <v>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</row>
    <row r="132" spans="1:49" s="1" customFormat="1" ht="13" x14ac:dyDescent="0.3">
      <c r="A132" s="29" t="s">
        <v>111</v>
      </c>
      <c r="B132" s="22" t="s">
        <v>111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1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</row>
    <row r="133" spans="1:49" s="1" customFormat="1" ht="13" x14ac:dyDescent="0.3">
      <c r="A133" s="29" t="s">
        <v>112</v>
      </c>
      <c r="B133" s="22" t="s">
        <v>112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>
        <v>1</v>
      </c>
      <c r="X133" s="3">
        <v>1</v>
      </c>
      <c r="Y133" s="3"/>
      <c r="Z133" s="3"/>
      <c r="AA133" s="3">
        <v>1</v>
      </c>
      <c r="AB133" s="3">
        <v>1</v>
      </c>
      <c r="AC133" s="3"/>
      <c r="AD133" s="3"/>
      <c r="AE133" s="3">
        <v>1</v>
      </c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>
        <v>1</v>
      </c>
      <c r="AQ133" s="3"/>
      <c r="AR133" s="3"/>
      <c r="AS133" s="3"/>
      <c r="AT133" s="3"/>
      <c r="AU133" s="3"/>
      <c r="AV133" s="3"/>
      <c r="AW133" s="3"/>
    </row>
    <row r="134" spans="1:49" s="1" customFormat="1" ht="13" x14ac:dyDescent="0.3">
      <c r="A134" s="29" t="s">
        <v>289</v>
      </c>
      <c r="B134" s="22" t="s">
        <v>289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>
        <v>1</v>
      </c>
      <c r="AO134" s="3"/>
      <c r="AP134" s="3">
        <v>1</v>
      </c>
      <c r="AQ134" s="3">
        <v>1</v>
      </c>
      <c r="AR134" s="3"/>
      <c r="AS134" s="3"/>
      <c r="AT134" s="3"/>
      <c r="AU134" s="3"/>
      <c r="AV134" s="3"/>
      <c r="AW134" s="3"/>
    </row>
    <row r="135" spans="1:49" s="1" customFormat="1" ht="13" x14ac:dyDescent="0.3">
      <c r="A135" s="29" t="s">
        <v>113</v>
      </c>
      <c r="B135" s="22" t="s">
        <v>113</v>
      </c>
      <c r="C135" s="3">
        <v>2</v>
      </c>
      <c r="D135" s="3"/>
      <c r="E135" s="3"/>
      <c r="F135" s="3"/>
      <c r="G135" s="3">
        <v>3</v>
      </c>
      <c r="H135" s="3"/>
      <c r="I135" s="3">
        <v>3</v>
      </c>
      <c r="J135" s="3"/>
      <c r="K135" s="3"/>
      <c r="L135" s="3"/>
      <c r="M135" s="3"/>
      <c r="N135" s="3"/>
      <c r="O135" s="3"/>
      <c r="P135" s="3"/>
      <c r="Q135" s="3"/>
      <c r="R135" s="3">
        <v>1</v>
      </c>
      <c r="S135" s="3">
        <v>1</v>
      </c>
      <c r="T135" s="3">
        <v>1</v>
      </c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</row>
    <row r="136" spans="1:49" s="1" customFormat="1" ht="13" x14ac:dyDescent="0.3">
      <c r="A136" s="29" t="s">
        <v>114</v>
      </c>
      <c r="B136" s="22" t="s">
        <v>114</v>
      </c>
      <c r="C136" s="3">
        <v>1</v>
      </c>
      <c r="D136" s="3"/>
      <c r="E136" s="3"/>
      <c r="F136" s="3"/>
      <c r="G136" s="3"/>
      <c r="H136" s="3"/>
      <c r="I136" s="3">
        <v>1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>
        <v>1</v>
      </c>
      <c r="X136" s="3">
        <v>1</v>
      </c>
      <c r="Y136" s="3"/>
      <c r="Z136" s="3"/>
      <c r="AA136" s="3">
        <v>3</v>
      </c>
      <c r="AB136" s="3">
        <v>3</v>
      </c>
      <c r="AC136" s="3"/>
      <c r="AD136" s="3"/>
      <c r="AE136" s="3">
        <v>1</v>
      </c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</row>
    <row r="137" spans="1:49" s="1" customFormat="1" ht="13" x14ac:dyDescent="0.3">
      <c r="A137" s="29" t="s">
        <v>115</v>
      </c>
      <c r="B137" s="22" t="s">
        <v>115</v>
      </c>
      <c r="C137" s="3">
        <v>2</v>
      </c>
      <c r="D137" s="3"/>
      <c r="E137" s="3"/>
      <c r="F137" s="3"/>
      <c r="G137" s="3"/>
      <c r="H137" s="3"/>
      <c r="I137" s="3"/>
      <c r="J137" s="3"/>
      <c r="K137" s="3">
        <v>1</v>
      </c>
      <c r="L137" s="3"/>
      <c r="M137" s="3"/>
      <c r="N137" s="3"/>
      <c r="O137" s="3"/>
      <c r="P137" s="3">
        <v>1</v>
      </c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>
        <v>1</v>
      </c>
      <c r="AG137" s="3"/>
      <c r="AH137" s="3"/>
      <c r="AI137" s="3"/>
      <c r="AJ137" s="3">
        <v>2</v>
      </c>
      <c r="AK137" s="3"/>
      <c r="AL137" s="3">
        <v>2</v>
      </c>
      <c r="AM137" s="3"/>
      <c r="AN137" s="3">
        <v>1</v>
      </c>
      <c r="AO137" s="3">
        <v>1</v>
      </c>
      <c r="AP137" s="3">
        <v>1</v>
      </c>
      <c r="AQ137" s="3">
        <v>1</v>
      </c>
      <c r="AR137" s="3">
        <v>1</v>
      </c>
      <c r="AS137" s="3"/>
      <c r="AT137" s="3"/>
      <c r="AU137" s="3"/>
      <c r="AV137" s="3"/>
      <c r="AW137" s="3"/>
    </row>
    <row r="138" spans="1:49" s="1" customFormat="1" ht="13" x14ac:dyDescent="0.3">
      <c r="A138" s="29" t="s">
        <v>116</v>
      </c>
      <c r="B138" s="22" t="s">
        <v>116</v>
      </c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>
        <v>1</v>
      </c>
      <c r="T138" s="3"/>
      <c r="U138" s="3">
        <v>1</v>
      </c>
      <c r="V138" s="3">
        <v>3</v>
      </c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</row>
    <row r="139" spans="1:49" s="1" customFormat="1" ht="13" x14ac:dyDescent="0.3">
      <c r="A139" s="29" t="s">
        <v>290</v>
      </c>
      <c r="B139" s="22" t="s">
        <v>290</v>
      </c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>
        <v>1</v>
      </c>
      <c r="AO139" s="3"/>
      <c r="AP139" s="3">
        <v>1</v>
      </c>
      <c r="AQ139" s="3"/>
      <c r="AR139" s="3"/>
      <c r="AS139" s="3">
        <v>1</v>
      </c>
      <c r="AT139" s="3"/>
      <c r="AU139" s="3"/>
      <c r="AV139" s="3"/>
      <c r="AW139" s="3">
        <v>1</v>
      </c>
    </row>
    <row r="140" spans="1:49" s="1" customFormat="1" ht="13" x14ac:dyDescent="0.3">
      <c r="A140" s="29" t="s">
        <v>291</v>
      </c>
      <c r="B140" s="22" t="s">
        <v>291</v>
      </c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>
        <v>1</v>
      </c>
      <c r="AQ140" s="3">
        <v>1</v>
      </c>
      <c r="AR140" s="3"/>
      <c r="AS140" s="3">
        <v>1</v>
      </c>
      <c r="AT140" s="3">
        <v>1</v>
      </c>
      <c r="AU140" s="3"/>
      <c r="AV140" s="3"/>
      <c r="AW140" s="3"/>
    </row>
    <row r="141" spans="1:49" s="1" customFormat="1" ht="13" x14ac:dyDescent="0.3">
      <c r="A141" s="29" t="s">
        <v>117</v>
      </c>
      <c r="B141" s="22" t="s">
        <v>117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>
        <v>1</v>
      </c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>
        <v>3</v>
      </c>
      <c r="Y141" s="3">
        <v>4</v>
      </c>
      <c r="Z141" s="3">
        <v>3</v>
      </c>
      <c r="AA141" s="3"/>
      <c r="AB141" s="3"/>
      <c r="AC141" s="3">
        <v>1</v>
      </c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>
        <v>1</v>
      </c>
      <c r="AO141" s="3"/>
      <c r="AP141" s="3"/>
      <c r="AQ141" s="3"/>
      <c r="AR141" s="3">
        <v>1</v>
      </c>
      <c r="AS141" s="3"/>
      <c r="AT141" s="3"/>
      <c r="AU141" s="3"/>
      <c r="AV141" s="3"/>
      <c r="AW141" s="3"/>
    </row>
    <row r="142" spans="1:49" s="1" customFormat="1" ht="13" x14ac:dyDescent="0.3">
      <c r="A142" s="29" t="s">
        <v>292</v>
      </c>
      <c r="B142" s="22" t="s">
        <v>292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>
        <v>1</v>
      </c>
      <c r="AQ142" s="3">
        <v>1</v>
      </c>
      <c r="AR142" s="3"/>
      <c r="AS142" s="3"/>
      <c r="AT142" s="3">
        <v>1</v>
      </c>
      <c r="AU142" s="3">
        <v>1</v>
      </c>
      <c r="AV142" s="3"/>
      <c r="AW142" s="3"/>
    </row>
    <row r="143" spans="1:49" s="1" customFormat="1" ht="13" x14ac:dyDescent="0.3">
      <c r="A143" s="29" t="s">
        <v>293</v>
      </c>
      <c r="B143" s="22" t="s">
        <v>293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>
        <v>1</v>
      </c>
      <c r="AR143" s="3"/>
      <c r="AS143" s="3">
        <v>1</v>
      </c>
      <c r="AT143" s="3"/>
      <c r="AU143" s="3"/>
      <c r="AV143" s="3"/>
      <c r="AW143" s="3"/>
    </row>
    <row r="144" spans="1:49" s="1" customFormat="1" ht="13" x14ac:dyDescent="0.3">
      <c r="A144" s="29" t="s">
        <v>294</v>
      </c>
      <c r="B144" s="22" t="s">
        <v>294</v>
      </c>
      <c r="C144" s="3"/>
      <c r="D144" s="3"/>
      <c r="E144" s="3"/>
      <c r="F144" s="3"/>
      <c r="G144" s="3"/>
      <c r="H144" s="3"/>
      <c r="I144" s="3"/>
      <c r="J144" s="3"/>
      <c r="K144" s="3">
        <v>2</v>
      </c>
      <c r="L144" s="3"/>
      <c r="M144" s="3"/>
      <c r="N144" s="3"/>
      <c r="O144" s="3"/>
      <c r="P144" s="3">
        <v>2</v>
      </c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>
        <v>2</v>
      </c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</row>
    <row r="145" spans="1:49" s="1" customFormat="1" ht="13" x14ac:dyDescent="0.3">
      <c r="A145" s="29" t="s">
        <v>295</v>
      </c>
      <c r="B145" s="22" t="s">
        <v>295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>
        <v>1</v>
      </c>
      <c r="AU145" s="3"/>
      <c r="AV145" s="3"/>
      <c r="AW145" s="3">
        <v>1</v>
      </c>
    </row>
    <row r="146" spans="1:49" s="1" customFormat="1" ht="13" x14ac:dyDescent="0.3">
      <c r="A146" s="29" t="s">
        <v>297</v>
      </c>
      <c r="B146" s="22" t="s">
        <v>297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>
        <v>1</v>
      </c>
      <c r="AO146" s="3"/>
      <c r="AP146" s="3"/>
      <c r="AQ146" s="3"/>
      <c r="AR146" s="3">
        <v>1</v>
      </c>
      <c r="AS146" s="3"/>
      <c r="AT146" s="3">
        <v>1</v>
      </c>
      <c r="AU146" s="3">
        <v>1</v>
      </c>
      <c r="AV146" s="3"/>
      <c r="AW146" s="3"/>
    </row>
    <row r="147" spans="1:49" s="1" customFormat="1" ht="13" x14ac:dyDescent="0.3">
      <c r="A147" s="29" t="s">
        <v>298</v>
      </c>
      <c r="B147" s="22" t="s">
        <v>298</v>
      </c>
      <c r="C147" s="3"/>
      <c r="D147" s="3"/>
      <c r="E147" s="3"/>
      <c r="F147" s="3"/>
      <c r="G147" s="3"/>
      <c r="H147" s="3"/>
      <c r="I147" s="3"/>
      <c r="J147" s="3"/>
      <c r="K147" s="25">
        <v>3</v>
      </c>
      <c r="L147" s="3">
        <v>1</v>
      </c>
      <c r="M147" s="3"/>
      <c r="N147" s="3">
        <v>1</v>
      </c>
      <c r="O147" s="3"/>
      <c r="P147" s="3">
        <v>3</v>
      </c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>
        <v>3</v>
      </c>
      <c r="AG147" s="3"/>
      <c r="AH147" s="3"/>
      <c r="AI147" s="3"/>
      <c r="AJ147" s="3">
        <v>3</v>
      </c>
      <c r="AK147" s="3"/>
      <c r="AL147" s="3">
        <v>1</v>
      </c>
      <c r="AM147" s="3"/>
      <c r="AN147" s="3"/>
      <c r="AO147" s="3"/>
      <c r="AP147" s="3">
        <v>4</v>
      </c>
      <c r="AQ147" s="3"/>
      <c r="AR147" s="3"/>
      <c r="AS147" s="3"/>
      <c r="AT147" s="3"/>
      <c r="AU147" s="3"/>
      <c r="AV147" s="3"/>
      <c r="AW147" s="3"/>
    </row>
    <row r="148" spans="1:49" s="1" customFormat="1" ht="13" x14ac:dyDescent="0.3">
      <c r="A148" s="29" t="s">
        <v>299</v>
      </c>
      <c r="B148" s="22" t="s">
        <v>299</v>
      </c>
      <c r="C148" s="3"/>
      <c r="D148" s="3"/>
      <c r="E148" s="3"/>
      <c r="F148" s="3"/>
      <c r="G148" s="3"/>
      <c r="H148" s="3">
        <v>4</v>
      </c>
      <c r="I148" s="3"/>
      <c r="J148" s="3">
        <v>1</v>
      </c>
      <c r="K148" s="3"/>
      <c r="L148" s="3"/>
      <c r="M148" s="3"/>
      <c r="N148" s="3"/>
      <c r="O148" s="3"/>
      <c r="P148" s="3"/>
      <c r="Q148" s="3">
        <v>3</v>
      </c>
      <c r="R148" s="3"/>
      <c r="S148" s="3"/>
      <c r="T148" s="3"/>
      <c r="U148" s="3">
        <v>1</v>
      </c>
      <c r="V148" s="3"/>
      <c r="W148" s="3">
        <v>1</v>
      </c>
      <c r="X148" s="3"/>
      <c r="Y148" s="3">
        <v>1</v>
      </c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</row>
    <row r="149" spans="1:49" s="1" customFormat="1" ht="13" x14ac:dyDescent="0.3">
      <c r="A149" s="29" t="s">
        <v>372</v>
      </c>
      <c r="B149" s="22" t="s">
        <v>372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>
        <v>4</v>
      </c>
      <c r="AB149" s="3">
        <v>4</v>
      </c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</row>
    <row r="150" spans="1:49" s="1" customFormat="1" ht="13" x14ac:dyDescent="0.3">
      <c r="A150" s="29" t="s">
        <v>120</v>
      </c>
      <c r="B150" s="22" t="s">
        <v>120</v>
      </c>
      <c r="C150" s="3">
        <v>3</v>
      </c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>
        <v>1</v>
      </c>
      <c r="X150" s="3">
        <v>1</v>
      </c>
      <c r="Y150" s="3"/>
      <c r="Z150" s="3"/>
      <c r="AA150" s="3">
        <v>2</v>
      </c>
      <c r="AB150" s="3">
        <v>2</v>
      </c>
      <c r="AC150" s="3"/>
      <c r="AD150" s="3"/>
      <c r="AE150" s="3">
        <v>1</v>
      </c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</row>
    <row r="151" spans="1:49" s="1" customFormat="1" ht="13" x14ac:dyDescent="0.3">
      <c r="A151" s="29" t="s">
        <v>301</v>
      </c>
      <c r="B151" s="22" t="s">
        <v>301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>
        <v>1</v>
      </c>
      <c r="AO151" s="3"/>
      <c r="AP151" s="3"/>
      <c r="AQ151" s="3"/>
      <c r="AR151" s="3">
        <v>1</v>
      </c>
      <c r="AS151" s="3"/>
      <c r="AT151" s="3"/>
      <c r="AU151" s="3">
        <v>1</v>
      </c>
      <c r="AV151" s="3"/>
      <c r="AW151" s="3"/>
    </row>
    <row r="152" spans="1:49" s="1" customFormat="1" ht="13" x14ac:dyDescent="0.3">
      <c r="A152" s="28" t="s">
        <v>302</v>
      </c>
      <c r="B152" s="22" t="s">
        <v>302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>
        <v>4</v>
      </c>
      <c r="AW152" s="3"/>
    </row>
    <row r="153" spans="1:49" s="1" customFormat="1" ht="13" x14ac:dyDescent="0.3">
      <c r="A153" s="29" t="s">
        <v>303</v>
      </c>
      <c r="B153" s="22" t="s">
        <v>303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>
        <v>1</v>
      </c>
      <c r="AO153" s="3"/>
      <c r="AP153" s="3"/>
      <c r="AQ153" s="3">
        <v>1</v>
      </c>
      <c r="AR153" s="3">
        <v>1</v>
      </c>
      <c r="AS153" s="3">
        <v>1</v>
      </c>
      <c r="AT153" s="3"/>
      <c r="AU153" s="3"/>
      <c r="AV153" s="3"/>
      <c r="AW153" s="3"/>
    </row>
    <row r="154" spans="1:49" s="1" customFormat="1" ht="13" x14ac:dyDescent="0.3">
      <c r="A154" s="29" t="s">
        <v>304</v>
      </c>
      <c r="B154" s="22" t="s">
        <v>304</v>
      </c>
      <c r="C154" s="3"/>
      <c r="D154" s="3"/>
      <c r="E154" s="3"/>
      <c r="F154" s="3"/>
      <c r="G154" s="3"/>
      <c r="H154" s="3"/>
      <c r="I154" s="3"/>
      <c r="J154" s="3"/>
      <c r="K154" s="3">
        <v>1</v>
      </c>
      <c r="L154" s="3"/>
      <c r="M154" s="3"/>
      <c r="N154" s="3"/>
      <c r="O154" s="3"/>
      <c r="P154" s="3">
        <v>1</v>
      </c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>
        <v>1</v>
      </c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</row>
    <row r="155" spans="1:49" s="1" customFormat="1" ht="13" x14ac:dyDescent="0.3">
      <c r="A155" s="29" t="s">
        <v>305</v>
      </c>
      <c r="B155" s="22" t="s">
        <v>305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>
        <v>1</v>
      </c>
      <c r="AV155" s="3"/>
      <c r="AW155" s="3"/>
    </row>
    <row r="156" spans="1:49" s="1" customFormat="1" ht="13" x14ac:dyDescent="0.3">
      <c r="A156" s="29" t="s">
        <v>123</v>
      </c>
      <c r="B156" s="22" t="s">
        <v>123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>
        <v>2</v>
      </c>
      <c r="AE156" s="3">
        <v>2</v>
      </c>
      <c r="AF156" s="3">
        <v>2</v>
      </c>
      <c r="AG156" s="3"/>
      <c r="AH156" s="3"/>
      <c r="AI156" s="3">
        <v>4</v>
      </c>
      <c r="AJ156" s="3">
        <v>1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</row>
    <row r="157" spans="1:49" s="1" customFormat="1" ht="13" x14ac:dyDescent="0.3">
      <c r="A157" s="29" t="s">
        <v>124</v>
      </c>
      <c r="B157" s="22" t="s">
        <v>124</v>
      </c>
      <c r="C157" s="3">
        <v>2</v>
      </c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>
        <v>3</v>
      </c>
      <c r="X157" s="3"/>
      <c r="Y157" s="3">
        <v>3</v>
      </c>
      <c r="Z157" s="3">
        <v>1</v>
      </c>
      <c r="AA157" s="3">
        <v>1</v>
      </c>
      <c r="AB157" s="3">
        <v>1</v>
      </c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3</v>
      </c>
      <c r="AV157" s="3"/>
      <c r="AW157" s="3"/>
    </row>
    <row r="158" spans="1:49" s="1" customFormat="1" ht="13" x14ac:dyDescent="0.3">
      <c r="A158" s="29" t="s">
        <v>306</v>
      </c>
      <c r="B158" s="22" t="s">
        <v>306</v>
      </c>
      <c r="C158" s="3">
        <v>3</v>
      </c>
      <c r="D158" s="3"/>
      <c r="E158" s="3"/>
      <c r="F158" s="3"/>
      <c r="G158" s="3">
        <v>3</v>
      </c>
      <c r="H158" s="3"/>
      <c r="I158" s="3">
        <v>3</v>
      </c>
      <c r="J158" s="3"/>
      <c r="K158" s="3"/>
      <c r="L158" s="3"/>
      <c r="M158" s="3">
        <v>3</v>
      </c>
      <c r="N158" s="3"/>
      <c r="O158" s="3"/>
      <c r="P158" s="3"/>
      <c r="Q158" s="3"/>
      <c r="R158" s="3">
        <v>3</v>
      </c>
      <c r="S158" s="3">
        <v>3</v>
      </c>
      <c r="T158" s="3"/>
      <c r="U158" s="3"/>
      <c r="V158" s="3"/>
      <c r="W158" s="3">
        <v>3</v>
      </c>
      <c r="X158" s="3">
        <v>3</v>
      </c>
      <c r="Y158" s="3">
        <v>3</v>
      </c>
      <c r="Z158" s="3">
        <v>3</v>
      </c>
      <c r="AA158" s="3">
        <v>3</v>
      </c>
      <c r="AB158" s="3">
        <v>3</v>
      </c>
      <c r="AC158" s="3">
        <v>3</v>
      </c>
      <c r="AD158" s="3">
        <v>3</v>
      </c>
      <c r="AE158" s="3">
        <v>3</v>
      </c>
      <c r="AF158" s="3"/>
      <c r="AG158" s="3"/>
      <c r="AH158" s="3">
        <v>3</v>
      </c>
      <c r="AI158" s="3">
        <v>3</v>
      </c>
      <c r="AJ158" s="3"/>
      <c r="AK158" s="3"/>
      <c r="AL158" s="3">
        <v>3</v>
      </c>
      <c r="AM158" s="3"/>
      <c r="AN158" s="3">
        <v>3</v>
      </c>
      <c r="AO158" s="3">
        <v>3</v>
      </c>
      <c r="AP158" s="3">
        <v>3</v>
      </c>
      <c r="AQ158" s="3">
        <v>3</v>
      </c>
      <c r="AR158" s="3">
        <v>3</v>
      </c>
      <c r="AS158" s="3">
        <v>3</v>
      </c>
      <c r="AT158" s="3">
        <v>3</v>
      </c>
      <c r="AU158" s="3">
        <v>3</v>
      </c>
      <c r="AV158" s="3"/>
      <c r="AW158" s="3">
        <v>3</v>
      </c>
    </row>
    <row r="159" spans="1:49" s="1" customFormat="1" ht="13" x14ac:dyDescent="0.3">
      <c r="A159" s="29" t="s">
        <v>125</v>
      </c>
      <c r="B159" s="22" t="s">
        <v>125</v>
      </c>
      <c r="C159" s="3">
        <v>2</v>
      </c>
      <c r="D159" s="3"/>
      <c r="E159" s="3"/>
      <c r="F159" s="3"/>
      <c r="G159" s="3"/>
      <c r="H159" s="3"/>
      <c r="I159" s="3"/>
      <c r="J159" s="3"/>
      <c r="K159" s="3">
        <v>1</v>
      </c>
      <c r="L159" s="3"/>
      <c r="M159" s="3"/>
      <c r="N159" s="3"/>
      <c r="O159" s="3"/>
      <c r="P159" s="3">
        <v>1</v>
      </c>
      <c r="Q159" s="3"/>
      <c r="R159" s="3"/>
      <c r="S159" s="3"/>
      <c r="T159" s="3"/>
      <c r="U159" s="3"/>
      <c r="V159" s="3">
        <v>3</v>
      </c>
      <c r="W159" s="3"/>
      <c r="X159" s="3"/>
      <c r="Y159" s="3"/>
      <c r="Z159" s="3"/>
      <c r="AA159" s="3"/>
      <c r="AB159" s="3"/>
      <c r="AC159" s="3"/>
      <c r="AD159" s="3"/>
      <c r="AE159" s="3"/>
      <c r="AF159" s="3">
        <v>1</v>
      </c>
      <c r="AG159" s="3"/>
      <c r="AH159" s="3"/>
      <c r="AI159" s="3"/>
      <c r="AJ159" s="3"/>
      <c r="AK159" s="3"/>
      <c r="AL159" s="3"/>
      <c r="AM159" s="3"/>
      <c r="AN159" s="3">
        <v>1</v>
      </c>
      <c r="AO159" s="3"/>
      <c r="AP159" s="3"/>
      <c r="AQ159" s="3"/>
      <c r="AR159" s="3">
        <v>1</v>
      </c>
      <c r="AS159" s="3"/>
      <c r="AT159" s="3"/>
      <c r="AU159" s="3"/>
      <c r="AV159" s="3"/>
      <c r="AW159" s="3"/>
    </row>
    <row r="160" spans="1:49" s="1" customFormat="1" ht="13" x14ac:dyDescent="0.3">
      <c r="A160" s="29" t="s">
        <v>307</v>
      </c>
      <c r="B160" s="22" t="s">
        <v>307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>
        <v>1</v>
      </c>
      <c r="AO160" s="3"/>
      <c r="AP160" s="3">
        <v>1</v>
      </c>
      <c r="AQ160" s="3">
        <v>1</v>
      </c>
      <c r="AR160" s="3"/>
      <c r="AS160" s="3"/>
      <c r="AT160" s="3"/>
      <c r="AU160" s="3"/>
      <c r="AV160" s="3"/>
      <c r="AW160" s="3"/>
    </row>
    <row r="161" spans="1:49" s="1" customFormat="1" ht="13" x14ac:dyDescent="0.3">
      <c r="A161" s="29" t="s">
        <v>308</v>
      </c>
      <c r="B161" s="22" t="s">
        <v>308</v>
      </c>
      <c r="C161" s="3">
        <v>3</v>
      </c>
      <c r="D161" s="3">
        <v>3</v>
      </c>
      <c r="E161" s="3">
        <v>3</v>
      </c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>
        <v>1</v>
      </c>
      <c r="AO161" s="3"/>
      <c r="AP161" s="3"/>
      <c r="AQ161" s="3">
        <v>1</v>
      </c>
      <c r="AR161" s="3">
        <v>1</v>
      </c>
      <c r="AS161" s="3"/>
      <c r="AT161" s="3"/>
      <c r="AU161" s="3"/>
      <c r="AV161" s="3"/>
      <c r="AW161" s="3"/>
    </row>
    <row r="162" spans="1:49" s="1" customFormat="1" ht="13" x14ac:dyDescent="0.3">
      <c r="A162" s="29" t="s">
        <v>310</v>
      </c>
      <c r="B162" s="22" t="s">
        <v>310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>
        <v>1</v>
      </c>
      <c r="AU162" s="3">
        <v>4</v>
      </c>
      <c r="AV162" s="3"/>
      <c r="AW162" s="3"/>
    </row>
    <row r="163" spans="1:49" s="1" customFormat="1" ht="13" x14ac:dyDescent="0.3">
      <c r="A163" s="28" t="s">
        <v>311</v>
      </c>
      <c r="B163" s="23" t="s">
        <v>311</v>
      </c>
      <c r="C163" s="20"/>
      <c r="D163" s="20"/>
      <c r="E163" s="20"/>
      <c r="F163" s="20"/>
      <c r="G163" s="20"/>
      <c r="H163" s="20"/>
      <c r="I163" s="20"/>
      <c r="J163" s="20"/>
      <c r="K163" s="20">
        <v>4</v>
      </c>
      <c r="L163" s="20"/>
      <c r="M163" s="20"/>
      <c r="N163" s="20"/>
      <c r="O163" s="20"/>
      <c r="P163" s="20">
        <v>4</v>
      </c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>
        <v>4</v>
      </c>
      <c r="AM163" s="20"/>
      <c r="AN163" s="20">
        <v>4</v>
      </c>
      <c r="AO163" s="20"/>
      <c r="AP163" s="20">
        <v>1</v>
      </c>
      <c r="AQ163" s="20">
        <v>1</v>
      </c>
      <c r="AR163" s="20">
        <v>1</v>
      </c>
      <c r="AS163" s="20">
        <v>1</v>
      </c>
      <c r="AT163" s="20">
        <v>1</v>
      </c>
      <c r="AU163" s="20"/>
      <c r="AV163" s="20"/>
      <c r="AW163" s="20"/>
    </row>
    <row r="164" spans="1:49" s="1" customFormat="1" ht="13" x14ac:dyDescent="0.3">
      <c r="A164" s="29" t="s">
        <v>312</v>
      </c>
      <c r="B164" s="22" t="s">
        <v>312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>
        <v>4</v>
      </c>
      <c r="X164" s="3">
        <v>4</v>
      </c>
      <c r="Y164" s="3"/>
      <c r="Z164" s="3"/>
      <c r="AA164" s="3">
        <v>1</v>
      </c>
      <c r="AB164" s="3">
        <v>1</v>
      </c>
      <c r="AC164" s="3"/>
      <c r="AD164" s="3"/>
      <c r="AE164" s="3">
        <v>1</v>
      </c>
      <c r="AF164" s="3"/>
      <c r="AG164" s="3"/>
      <c r="AH164" s="3"/>
      <c r="AI164" s="3"/>
      <c r="AJ164" s="3"/>
      <c r="AK164" s="3"/>
      <c r="AL164" s="3"/>
      <c r="AM164" s="3"/>
      <c r="AN164" s="3">
        <v>4</v>
      </c>
      <c r="AO164" s="3"/>
      <c r="AP164" s="3">
        <v>4</v>
      </c>
      <c r="AQ164" s="3"/>
      <c r="AR164" s="3"/>
      <c r="AS164" s="3"/>
      <c r="AT164" s="3"/>
      <c r="AU164" s="3"/>
      <c r="AV164" s="3"/>
      <c r="AW164" s="3"/>
    </row>
    <row r="165" spans="1:49" s="1" customFormat="1" ht="13" x14ac:dyDescent="0.3">
      <c r="A165" s="29" t="s">
        <v>127</v>
      </c>
      <c r="B165" s="22" t="s">
        <v>127</v>
      </c>
      <c r="C165" s="3">
        <v>2</v>
      </c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>
        <v>3</v>
      </c>
      <c r="Y165" s="3">
        <v>1</v>
      </c>
      <c r="Z165" s="24">
        <v>3</v>
      </c>
      <c r="AA165" s="3">
        <v>2</v>
      </c>
      <c r="AB165" s="3">
        <v>1</v>
      </c>
      <c r="AC165" s="3"/>
      <c r="AD165" s="3"/>
      <c r="AE165" s="3"/>
      <c r="AF165" s="3"/>
      <c r="AG165" s="3"/>
      <c r="AH165" s="3"/>
      <c r="AI165" s="3"/>
      <c r="AJ165" s="3">
        <v>1</v>
      </c>
      <c r="AK165" s="3"/>
      <c r="AL165" s="3">
        <v>1</v>
      </c>
      <c r="AM165" s="3"/>
      <c r="AN165" s="3"/>
      <c r="AO165" s="3">
        <v>1</v>
      </c>
      <c r="AP165" s="3">
        <v>1</v>
      </c>
      <c r="AQ165" s="3">
        <v>1</v>
      </c>
      <c r="AR165" s="3">
        <v>1</v>
      </c>
      <c r="AS165" s="3"/>
      <c r="AT165" s="3"/>
      <c r="AU165" s="3"/>
      <c r="AV165" s="3"/>
      <c r="AW165" s="3"/>
    </row>
    <row r="166" spans="1:49" s="1" customFormat="1" ht="13" x14ac:dyDescent="0.3">
      <c r="A166" s="29" t="s">
        <v>314</v>
      </c>
      <c r="B166" s="22" t="s">
        <v>314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>
        <v>1</v>
      </c>
      <c r="AV166" s="3"/>
      <c r="AW166" s="3"/>
    </row>
    <row r="167" spans="1:49" s="1" customFormat="1" ht="13" x14ac:dyDescent="0.3">
      <c r="A167" s="29" t="s">
        <v>129</v>
      </c>
      <c r="B167" s="22" t="s">
        <v>129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>
        <v>1</v>
      </c>
      <c r="W167" s="3"/>
      <c r="X167" s="3">
        <v>3</v>
      </c>
      <c r="Y167" s="3">
        <v>2</v>
      </c>
      <c r="Z167" s="3">
        <v>3</v>
      </c>
      <c r="AA167" s="3">
        <v>2</v>
      </c>
      <c r="AB167" s="3">
        <v>2</v>
      </c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>
        <v>4</v>
      </c>
      <c r="AQ167" s="3"/>
      <c r="AR167" s="3"/>
      <c r="AS167" s="3"/>
      <c r="AT167" s="3"/>
      <c r="AU167" s="3"/>
      <c r="AV167" s="3"/>
      <c r="AW167" s="3"/>
    </row>
    <row r="168" spans="1:49" s="1" customFormat="1" ht="13" x14ac:dyDescent="0.3">
      <c r="A168" s="29" t="s">
        <v>316</v>
      </c>
      <c r="B168" s="22" t="s">
        <v>316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1</v>
      </c>
      <c r="AK168" s="3"/>
      <c r="AL168" s="3"/>
      <c r="AM168" s="3"/>
      <c r="AN168" s="3">
        <v>1</v>
      </c>
      <c r="AO168" s="3">
        <v>1</v>
      </c>
      <c r="AP168" s="3"/>
      <c r="AQ168" s="3"/>
      <c r="AR168" s="3">
        <v>1</v>
      </c>
      <c r="AS168" s="3"/>
      <c r="AT168" s="3"/>
      <c r="AU168" s="3"/>
      <c r="AV168" s="3"/>
      <c r="AW168" s="3"/>
    </row>
    <row r="169" spans="1:49" s="1" customFormat="1" ht="13" x14ac:dyDescent="0.3">
      <c r="A169" s="29" t="s">
        <v>130</v>
      </c>
      <c r="B169" s="22" t="s">
        <v>130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>
        <v>4</v>
      </c>
      <c r="X169" s="3">
        <v>4</v>
      </c>
      <c r="Y169" s="3"/>
      <c r="Z169" s="3"/>
      <c r="AA169" s="3"/>
      <c r="AB169" s="3"/>
      <c r="AC169" s="3"/>
      <c r="AD169" s="3">
        <v>2</v>
      </c>
      <c r="AE169" s="3">
        <v>1</v>
      </c>
      <c r="AF169" s="3"/>
      <c r="AG169" s="3"/>
      <c r="AH169" s="3">
        <v>2</v>
      </c>
      <c r="AI169" s="3">
        <v>1</v>
      </c>
      <c r="AJ169" s="3">
        <v>2</v>
      </c>
      <c r="AK169" s="3"/>
      <c r="AL169" s="3">
        <v>1</v>
      </c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</row>
    <row r="170" spans="1:49" s="1" customFormat="1" ht="13" x14ac:dyDescent="0.3">
      <c r="A170" s="29" t="s">
        <v>317</v>
      </c>
      <c r="B170" s="22" t="s">
        <v>317</v>
      </c>
      <c r="C170" s="3"/>
      <c r="D170" s="3"/>
      <c r="E170" s="3"/>
      <c r="F170" s="3"/>
      <c r="G170" s="3"/>
      <c r="H170" s="3"/>
      <c r="I170" s="3"/>
      <c r="J170" s="3"/>
      <c r="K170" s="3">
        <v>1</v>
      </c>
      <c r="L170" s="3"/>
      <c r="M170" s="3"/>
      <c r="N170" s="3"/>
      <c r="O170" s="3"/>
      <c r="P170" s="3">
        <v>1</v>
      </c>
      <c r="Q170" s="3"/>
      <c r="R170" s="3">
        <v>1</v>
      </c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>
        <v>1</v>
      </c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</row>
    <row r="171" spans="1:49" s="1" customFormat="1" ht="13" x14ac:dyDescent="0.3">
      <c r="A171" s="29" t="s">
        <v>318</v>
      </c>
      <c r="B171" s="22" t="s">
        <v>318</v>
      </c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>
        <v>1</v>
      </c>
      <c r="AR171" s="3"/>
      <c r="AS171" s="3">
        <v>1</v>
      </c>
      <c r="AT171" s="3">
        <v>1</v>
      </c>
      <c r="AU171" s="3">
        <v>1</v>
      </c>
      <c r="AV171" s="3"/>
      <c r="AW171" s="3"/>
    </row>
    <row r="172" spans="1:49" s="1" customFormat="1" ht="13" x14ac:dyDescent="0.3">
      <c r="A172" s="29" t="s">
        <v>319</v>
      </c>
      <c r="B172" s="22" t="s">
        <v>319</v>
      </c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4</v>
      </c>
      <c r="AK172" s="3"/>
      <c r="AL172" s="3">
        <v>1</v>
      </c>
      <c r="AM172" s="3"/>
      <c r="AN172" s="3"/>
      <c r="AO172" s="3"/>
      <c r="AP172" s="3">
        <v>1</v>
      </c>
      <c r="AQ172" s="3">
        <v>1</v>
      </c>
      <c r="AR172" s="3"/>
      <c r="AS172" s="3"/>
      <c r="AT172" s="3">
        <v>1</v>
      </c>
      <c r="AU172" s="3"/>
      <c r="AV172" s="3"/>
      <c r="AW172" s="3"/>
    </row>
    <row r="173" spans="1:49" s="1" customFormat="1" ht="13" x14ac:dyDescent="0.3">
      <c r="A173" s="29" t="s">
        <v>320</v>
      </c>
      <c r="B173" s="22" t="s">
        <v>320</v>
      </c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>
        <v>1</v>
      </c>
      <c r="AJ173" s="3"/>
      <c r="AK173" s="3"/>
      <c r="AL173" s="3">
        <v>3</v>
      </c>
      <c r="AM173" s="3"/>
      <c r="AN173" s="3"/>
      <c r="AO173" s="3"/>
      <c r="AP173" s="3">
        <v>1</v>
      </c>
      <c r="AQ173" s="3"/>
      <c r="AR173" s="3"/>
      <c r="AS173" s="3"/>
      <c r="AT173" s="3"/>
      <c r="AU173" s="3"/>
      <c r="AV173" s="3"/>
      <c r="AW173" s="3"/>
    </row>
    <row r="174" spans="1:49" s="1" customFormat="1" ht="13" x14ac:dyDescent="0.3">
      <c r="A174" s="29" t="s">
        <v>321</v>
      </c>
      <c r="B174" s="22" t="s">
        <v>321</v>
      </c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>
        <v>3</v>
      </c>
      <c r="AO174" s="3">
        <v>3</v>
      </c>
      <c r="AP174" s="3">
        <v>3</v>
      </c>
      <c r="AQ174" s="3">
        <v>3</v>
      </c>
      <c r="AR174" s="3">
        <v>3</v>
      </c>
      <c r="AS174" s="3">
        <v>3</v>
      </c>
      <c r="AT174" s="3">
        <v>3</v>
      </c>
      <c r="AU174" s="3"/>
      <c r="AV174" s="3"/>
      <c r="AW174" s="3">
        <v>3</v>
      </c>
    </row>
    <row r="175" spans="1:49" s="1" customFormat="1" ht="13" x14ac:dyDescent="0.3">
      <c r="A175" s="29" t="s">
        <v>133</v>
      </c>
      <c r="B175" s="22" t="s">
        <v>133</v>
      </c>
      <c r="C175" s="3"/>
      <c r="D175" s="3"/>
      <c r="E175" s="3"/>
      <c r="F175" s="3"/>
      <c r="G175" s="3"/>
      <c r="H175" s="3"/>
      <c r="I175" s="3"/>
      <c r="J175" s="3"/>
      <c r="K175" s="3">
        <v>1</v>
      </c>
      <c r="L175" s="3"/>
      <c r="M175" s="3"/>
      <c r="N175" s="3"/>
      <c r="O175" s="3"/>
      <c r="P175" s="3">
        <v>1</v>
      </c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>
        <v>1</v>
      </c>
      <c r="AG175" s="3"/>
      <c r="AH175" s="3"/>
      <c r="AI175" s="3"/>
      <c r="AJ175" s="3">
        <v>1</v>
      </c>
      <c r="AK175" s="3"/>
      <c r="AL175" s="3">
        <v>3</v>
      </c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</row>
    <row r="176" spans="1:49" s="1" customFormat="1" ht="13" x14ac:dyDescent="0.3">
      <c r="A176" s="29" t="s">
        <v>134</v>
      </c>
      <c r="B176" s="22" t="s">
        <v>134</v>
      </c>
      <c r="C176" s="3">
        <v>1</v>
      </c>
      <c r="D176" s="3"/>
      <c r="E176" s="3"/>
      <c r="F176" s="3"/>
      <c r="G176" s="3">
        <v>3</v>
      </c>
      <c r="H176" s="3"/>
      <c r="I176" s="3">
        <v>3</v>
      </c>
      <c r="J176" s="3"/>
      <c r="K176" s="3"/>
      <c r="L176" s="3"/>
      <c r="M176" s="3"/>
      <c r="N176" s="3"/>
      <c r="O176" s="3"/>
      <c r="P176" s="3"/>
      <c r="Q176" s="3">
        <v>1</v>
      </c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>
        <v>1</v>
      </c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</row>
    <row r="177" spans="1:49" s="1" customFormat="1" ht="13" x14ac:dyDescent="0.3">
      <c r="A177" s="29" t="s">
        <v>135</v>
      </c>
      <c r="B177" s="22" t="s">
        <v>135</v>
      </c>
      <c r="C177" s="3">
        <v>2</v>
      </c>
      <c r="D177" s="3"/>
      <c r="E177" s="3"/>
      <c r="F177" s="3"/>
      <c r="G177" s="3">
        <v>1</v>
      </c>
      <c r="H177" s="3"/>
      <c r="I177" s="3"/>
      <c r="J177" s="3"/>
      <c r="K177" s="3">
        <v>1</v>
      </c>
      <c r="L177" s="3"/>
      <c r="M177" s="3"/>
      <c r="N177" s="3"/>
      <c r="O177" s="3"/>
      <c r="P177" s="3">
        <v>2</v>
      </c>
      <c r="Q177" s="3"/>
      <c r="R177" s="3">
        <v>1</v>
      </c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>
        <v>1</v>
      </c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</row>
    <row r="178" spans="1:49" s="1" customFormat="1" ht="13" x14ac:dyDescent="0.3">
      <c r="A178" s="28" t="s">
        <v>322</v>
      </c>
      <c r="B178" s="22" t="s">
        <v>322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>
        <v>1</v>
      </c>
      <c r="AU178" s="3"/>
      <c r="AV178" s="3"/>
      <c r="AW178" s="3"/>
    </row>
    <row r="179" spans="1:49" s="1" customFormat="1" ht="13" x14ac:dyDescent="0.3">
      <c r="A179" s="29" t="s">
        <v>323</v>
      </c>
      <c r="B179" s="22" t="s">
        <v>323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>
        <v>1</v>
      </c>
      <c r="AV179" s="3"/>
      <c r="AW179" s="3"/>
    </row>
    <row r="180" spans="1:49" s="1" customFormat="1" ht="13" x14ac:dyDescent="0.3">
      <c r="A180" s="29" t="s">
        <v>324</v>
      </c>
      <c r="B180" s="22" t="s">
        <v>324</v>
      </c>
      <c r="C180" s="3"/>
      <c r="D180" s="3"/>
      <c r="E180" s="3"/>
      <c r="F180" s="3"/>
      <c r="G180" s="3"/>
      <c r="H180" s="3"/>
      <c r="I180" s="3"/>
      <c r="J180" s="3"/>
      <c r="K180" s="3">
        <v>1</v>
      </c>
      <c r="L180" s="3"/>
      <c r="M180" s="3"/>
      <c r="N180" s="3"/>
      <c r="O180" s="3"/>
      <c r="P180" s="3">
        <v>1</v>
      </c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</row>
    <row r="181" spans="1:49" s="1" customFormat="1" ht="13" x14ac:dyDescent="0.3">
      <c r="A181" s="29" t="s">
        <v>325</v>
      </c>
      <c r="B181" s="22" t="s">
        <v>325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>
        <v>1</v>
      </c>
      <c r="AQ181" s="3">
        <v>1</v>
      </c>
      <c r="AR181" s="3"/>
      <c r="AS181" s="3"/>
      <c r="AT181" s="3"/>
      <c r="AU181" s="3">
        <v>1</v>
      </c>
      <c r="AV181" s="3"/>
      <c r="AW181" s="3"/>
    </row>
    <row r="182" spans="1:49" s="1" customFormat="1" ht="13" x14ac:dyDescent="0.3">
      <c r="A182" s="29" t="s">
        <v>136</v>
      </c>
      <c r="B182" s="22" t="s">
        <v>136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>
        <v>1</v>
      </c>
      <c r="AF182" s="3">
        <v>1</v>
      </c>
      <c r="AG182" s="3"/>
      <c r="AH182" s="3"/>
      <c r="AI182" s="3">
        <v>3</v>
      </c>
      <c r="AJ182" s="3">
        <v>2</v>
      </c>
      <c r="AK182" s="3"/>
      <c r="AL182" s="3">
        <v>3</v>
      </c>
      <c r="AM182" s="3">
        <v>4</v>
      </c>
      <c r="AN182" s="3"/>
      <c r="AO182" s="3"/>
      <c r="AP182" s="3">
        <v>4</v>
      </c>
      <c r="AQ182" s="3"/>
      <c r="AR182" s="3"/>
      <c r="AS182" s="3"/>
      <c r="AT182" s="3"/>
      <c r="AU182" s="3"/>
      <c r="AV182" s="3"/>
      <c r="AW182" s="3"/>
    </row>
    <row r="183" spans="1:49" s="1" customFormat="1" ht="13" x14ac:dyDescent="0.3">
      <c r="A183" s="29" t="s">
        <v>137</v>
      </c>
      <c r="B183" s="22" t="s">
        <v>137</v>
      </c>
      <c r="C183" s="3"/>
      <c r="D183" s="3"/>
      <c r="E183" s="3"/>
      <c r="F183" s="3"/>
      <c r="G183" s="3"/>
      <c r="H183" s="3"/>
      <c r="I183" s="3"/>
      <c r="J183" s="3"/>
      <c r="K183" s="3">
        <v>2</v>
      </c>
      <c r="L183" s="3"/>
      <c r="M183" s="3"/>
      <c r="N183" s="3"/>
      <c r="O183" s="3"/>
      <c r="P183" s="3">
        <v>1</v>
      </c>
      <c r="Q183" s="3"/>
      <c r="R183" s="3"/>
      <c r="S183" s="3">
        <v>2</v>
      </c>
      <c r="T183" s="3">
        <v>3</v>
      </c>
      <c r="U183" s="3"/>
      <c r="V183" s="3"/>
      <c r="W183" s="3">
        <v>1</v>
      </c>
      <c r="X183" s="3">
        <v>1</v>
      </c>
      <c r="Y183" s="3"/>
      <c r="Z183" s="3"/>
      <c r="AA183" s="3">
        <v>1</v>
      </c>
      <c r="AB183" s="3">
        <v>1</v>
      </c>
      <c r="AC183" s="3"/>
      <c r="AD183" s="3"/>
      <c r="AE183" s="3">
        <v>1</v>
      </c>
      <c r="AF183" s="3">
        <v>1</v>
      </c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</row>
    <row r="184" spans="1:49" s="1" customFormat="1" ht="13" x14ac:dyDescent="0.3">
      <c r="A184" s="29" t="s">
        <v>138</v>
      </c>
      <c r="B184" s="22" t="s">
        <v>138</v>
      </c>
      <c r="C184" s="3"/>
      <c r="D184" s="3"/>
      <c r="E184" s="3"/>
      <c r="F184" s="3"/>
      <c r="G184" s="3"/>
      <c r="H184" s="3"/>
      <c r="I184" s="3"/>
      <c r="J184" s="3"/>
      <c r="K184" s="3">
        <v>1</v>
      </c>
      <c r="L184" s="3"/>
      <c r="M184" s="3"/>
      <c r="N184" s="3"/>
      <c r="O184" s="3"/>
      <c r="P184" s="3">
        <v>1</v>
      </c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>
        <v>2</v>
      </c>
      <c r="AE184" s="3">
        <v>2</v>
      </c>
      <c r="AF184" s="3">
        <v>2</v>
      </c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</row>
    <row r="185" spans="1:49" s="1" customFormat="1" ht="13" x14ac:dyDescent="0.3">
      <c r="A185" s="29" t="s">
        <v>139</v>
      </c>
      <c r="B185" s="22" t="s">
        <v>139</v>
      </c>
      <c r="C185" s="3">
        <v>2</v>
      </c>
      <c r="D185" s="3"/>
      <c r="E185" s="3"/>
      <c r="F185" s="3"/>
      <c r="G185" s="3">
        <v>3</v>
      </c>
      <c r="H185" s="3"/>
      <c r="I185" s="3"/>
      <c r="J185" s="3"/>
      <c r="K185" s="3">
        <v>1</v>
      </c>
      <c r="L185" s="3"/>
      <c r="M185" s="3"/>
      <c r="N185" s="3"/>
      <c r="O185" s="3"/>
      <c r="P185" s="3"/>
      <c r="Q185" s="3"/>
      <c r="R185" s="3"/>
      <c r="S185" s="3">
        <v>3</v>
      </c>
      <c r="T185" s="3">
        <v>3</v>
      </c>
      <c r="U185" s="3">
        <v>3</v>
      </c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</row>
    <row r="186" spans="1:49" s="1" customFormat="1" ht="13" x14ac:dyDescent="0.3">
      <c r="A186" s="29" t="s">
        <v>140</v>
      </c>
      <c r="B186" s="22" t="s">
        <v>140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>
        <v>1</v>
      </c>
      <c r="X186" s="3">
        <v>1</v>
      </c>
      <c r="Y186" s="3"/>
      <c r="Z186" s="3">
        <v>1</v>
      </c>
      <c r="AA186" s="3">
        <v>1</v>
      </c>
      <c r="AB186" s="3">
        <v>1</v>
      </c>
      <c r="AC186" s="3"/>
      <c r="AD186" s="3"/>
      <c r="AE186" s="3">
        <v>1</v>
      </c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</row>
    <row r="187" spans="1:49" s="1" customFormat="1" ht="13" x14ac:dyDescent="0.3">
      <c r="A187" s="29" t="s">
        <v>141</v>
      </c>
      <c r="B187" s="22" t="s">
        <v>141</v>
      </c>
      <c r="C187" s="3"/>
      <c r="D187" s="3"/>
      <c r="E187" s="3"/>
      <c r="F187" s="3"/>
      <c r="G187" s="3"/>
      <c r="H187" s="3"/>
      <c r="I187" s="3">
        <v>1</v>
      </c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>
        <v>3</v>
      </c>
      <c r="AE187" s="3">
        <v>3</v>
      </c>
      <c r="AF187" s="3">
        <v>3</v>
      </c>
      <c r="AG187" s="3"/>
      <c r="AH187" s="3">
        <v>3</v>
      </c>
      <c r="AI187" s="3">
        <v>3</v>
      </c>
      <c r="AJ187" s="3">
        <v>3</v>
      </c>
      <c r="AK187" s="3"/>
      <c r="AL187" s="3">
        <v>1</v>
      </c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</row>
    <row r="188" spans="1:49" s="1" customFormat="1" ht="13" x14ac:dyDescent="0.3">
      <c r="A188" s="29" t="s">
        <v>326</v>
      </c>
      <c r="B188" s="22" t="s">
        <v>326</v>
      </c>
      <c r="C188" s="3">
        <v>1</v>
      </c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>
        <v>1</v>
      </c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</row>
    <row r="189" spans="1:49" s="1" customFormat="1" ht="13" x14ac:dyDescent="0.3">
      <c r="A189" s="29" t="s">
        <v>327</v>
      </c>
      <c r="B189" s="22" t="s">
        <v>327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>
        <v>1</v>
      </c>
      <c r="AR189" s="3">
        <v>1</v>
      </c>
      <c r="AS189" s="3"/>
      <c r="AT189" s="3">
        <v>1</v>
      </c>
      <c r="AU189" s="3"/>
      <c r="AV189" s="3"/>
      <c r="AW189" s="3"/>
    </row>
    <row r="190" spans="1:49" s="1" customFormat="1" ht="13" x14ac:dyDescent="0.3">
      <c r="A190" s="29" t="s">
        <v>142</v>
      </c>
      <c r="B190" s="22" t="s">
        <v>142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>
        <v>1</v>
      </c>
      <c r="X190" s="3">
        <v>1</v>
      </c>
      <c r="Y190" s="3"/>
      <c r="Z190" s="3"/>
      <c r="AA190" s="3">
        <v>3</v>
      </c>
      <c r="AB190" s="3">
        <v>3</v>
      </c>
      <c r="AC190" s="3"/>
      <c r="AD190" s="3"/>
      <c r="AE190" s="3">
        <v>1</v>
      </c>
      <c r="AF190" s="3"/>
      <c r="AG190" s="3"/>
      <c r="AH190" s="3"/>
      <c r="AI190" s="3"/>
      <c r="AJ190" s="3"/>
      <c r="AK190" s="3"/>
      <c r="AL190" s="3">
        <v>2</v>
      </c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</row>
    <row r="191" spans="1:49" s="1" customFormat="1" ht="13" x14ac:dyDescent="0.3">
      <c r="A191" s="29" t="s">
        <v>143</v>
      </c>
      <c r="B191" s="22" t="s">
        <v>143</v>
      </c>
      <c r="C191" s="3">
        <v>3</v>
      </c>
      <c r="D191" s="3">
        <v>3</v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>
        <v>2</v>
      </c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</row>
    <row r="192" spans="1:49" s="1" customFormat="1" ht="13" x14ac:dyDescent="0.3">
      <c r="A192" s="29" t="s">
        <v>328</v>
      </c>
      <c r="B192" s="22" t="s">
        <v>328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>
        <v>3</v>
      </c>
      <c r="AE192" s="3">
        <v>3</v>
      </c>
      <c r="AF192" s="3">
        <v>3</v>
      </c>
      <c r="AG192" s="3">
        <v>3</v>
      </c>
      <c r="AH192" s="3">
        <v>3</v>
      </c>
      <c r="AI192" s="3">
        <v>3</v>
      </c>
      <c r="AJ192" s="3">
        <v>3</v>
      </c>
      <c r="AK192" s="3">
        <v>3</v>
      </c>
      <c r="AL192" s="3">
        <v>1</v>
      </c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</row>
    <row r="193" spans="1:49" s="1" customFormat="1" ht="13" x14ac:dyDescent="0.3">
      <c r="A193" s="29" t="s">
        <v>329</v>
      </c>
      <c r="B193" s="22" t="s">
        <v>329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>
        <v>1</v>
      </c>
      <c r="AV193" s="3"/>
      <c r="AW193" s="3"/>
    </row>
    <row r="194" spans="1:49" s="1" customFormat="1" ht="13" x14ac:dyDescent="0.3">
      <c r="A194" s="29" t="s">
        <v>330</v>
      </c>
      <c r="B194" s="22" t="s">
        <v>330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>
        <v>1</v>
      </c>
      <c r="AQ194" s="3"/>
      <c r="AR194" s="3"/>
      <c r="AS194" s="3"/>
      <c r="AT194" s="3"/>
      <c r="AU194" s="3">
        <v>1</v>
      </c>
      <c r="AV194" s="3"/>
      <c r="AW194" s="3"/>
    </row>
    <row r="195" spans="1:49" s="1" customFormat="1" ht="13" x14ac:dyDescent="0.3">
      <c r="A195" s="29" t="s">
        <v>144</v>
      </c>
      <c r="B195" s="22" t="s">
        <v>144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>
        <v>1</v>
      </c>
      <c r="AE195" s="3">
        <v>3</v>
      </c>
      <c r="AF195" s="3"/>
      <c r="AG195" s="3"/>
      <c r="AH195" s="3">
        <v>2</v>
      </c>
      <c r="AI195" s="3"/>
      <c r="AJ195" s="3">
        <v>2</v>
      </c>
      <c r="AK195" s="3"/>
      <c r="AL195" s="3">
        <v>1</v>
      </c>
      <c r="AM195" s="3"/>
      <c r="AN195" s="3">
        <v>3</v>
      </c>
      <c r="AO195" s="3">
        <v>3</v>
      </c>
      <c r="AP195" s="3">
        <v>3</v>
      </c>
      <c r="AQ195" s="3">
        <v>3</v>
      </c>
      <c r="AR195" s="3">
        <v>3</v>
      </c>
      <c r="AS195" s="3">
        <v>3</v>
      </c>
      <c r="AT195" s="3">
        <v>3</v>
      </c>
      <c r="AU195" s="3"/>
      <c r="AV195" s="3"/>
      <c r="AW195" s="3">
        <v>3</v>
      </c>
    </row>
    <row r="196" spans="1:49" s="1" customFormat="1" ht="13" x14ac:dyDescent="0.3">
      <c r="A196" s="28" t="s">
        <v>145</v>
      </c>
      <c r="B196" s="23" t="s">
        <v>145</v>
      </c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>
        <v>2</v>
      </c>
      <c r="X196" s="20">
        <v>1</v>
      </c>
      <c r="Y196" s="20">
        <v>2</v>
      </c>
      <c r="Z196" s="20">
        <v>1</v>
      </c>
      <c r="AA196" s="20">
        <v>1</v>
      </c>
      <c r="AB196" s="20">
        <v>1</v>
      </c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>
        <v>1</v>
      </c>
      <c r="AO196" s="20"/>
      <c r="AP196" s="20"/>
      <c r="AQ196" s="20"/>
      <c r="AR196" s="20"/>
      <c r="AS196" s="20"/>
      <c r="AT196" s="20"/>
      <c r="AU196" s="20"/>
      <c r="AV196" s="20"/>
      <c r="AW196" s="20"/>
    </row>
    <row r="197" spans="1:49" s="1" customFormat="1" ht="13" x14ac:dyDescent="0.3">
      <c r="A197" s="29" t="s">
        <v>146</v>
      </c>
      <c r="B197" s="22" t="s">
        <v>146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>
        <v>2</v>
      </c>
      <c r="X197" s="3">
        <v>1</v>
      </c>
      <c r="Y197" s="3">
        <v>2</v>
      </c>
      <c r="Z197" s="3"/>
      <c r="AA197" s="3">
        <v>1</v>
      </c>
      <c r="AB197" s="3">
        <v>1</v>
      </c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</row>
    <row r="198" spans="1:49" s="1" customFormat="1" ht="13" x14ac:dyDescent="0.3">
      <c r="A198" s="29" t="s">
        <v>331</v>
      </c>
      <c r="B198" s="22" t="s">
        <v>331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>
        <v>1</v>
      </c>
      <c r="AQ198" s="3"/>
      <c r="AR198" s="3"/>
      <c r="AS198" s="3"/>
      <c r="AT198" s="3"/>
      <c r="AU198" s="3"/>
      <c r="AV198" s="3"/>
      <c r="AW198" s="3"/>
    </row>
    <row r="199" spans="1:49" s="1" customFormat="1" ht="13" x14ac:dyDescent="0.3">
      <c r="A199" s="29" t="s">
        <v>333</v>
      </c>
      <c r="B199" s="22" t="s">
        <v>333</v>
      </c>
      <c r="C199" s="3"/>
      <c r="D199" s="3"/>
      <c r="E199" s="3"/>
      <c r="F199" s="3"/>
      <c r="G199" s="3"/>
      <c r="H199" s="3"/>
      <c r="I199" s="3"/>
      <c r="J199" s="3"/>
      <c r="K199" s="3">
        <v>1</v>
      </c>
      <c r="L199" s="3"/>
      <c r="M199" s="3"/>
      <c r="N199" s="3"/>
      <c r="O199" s="3"/>
      <c r="P199" s="3">
        <v>2</v>
      </c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>
        <v>1</v>
      </c>
      <c r="AG199" s="3"/>
      <c r="AH199" s="3"/>
      <c r="AI199" s="3"/>
      <c r="AJ199" s="3"/>
      <c r="AK199" s="3"/>
      <c r="AL199" s="3"/>
      <c r="AM199" s="3"/>
      <c r="AN199" s="3">
        <v>1</v>
      </c>
      <c r="AO199" s="3">
        <v>1</v>
      </c>
      <c r="AP199" s="3">
        <v>1</v>
      </c>
      <c r="AQ199" s="3">
        <v>1</v>
      </c>
      <c r="AR199" s="3">
        <v>1</v>
      </c>
      <c r="AS199" s="3"/>
      <c r="AT199" s="3"/>
      <c r="AU199" s="3"/>
      <c r="AV199" s="3"/>
      <c r="AW199" s="3"/>
    </row>
    <row r="200" spans="1:49" s="1" customFormat="1" ht="13" x14ac:dyDescent="0.3">
      <c r="A200" s="29" t="s">
        <v>147</v>
      </c>
      <c r="B200" s="22" t="s">
        <v>147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>
        <v>1</v>
      </c>
      <c r="V200" s="3"/>
      <c r="W200" s="3">
        <v>3</v>
      </c>
      <c r="X200" s="3">
        <v>3</v>
      </c>
      <c r="Y200" s="3">
        <v>3</v>
      </c>
      <c r="Z200" s="3">
        <v>3</v>
      </c>
      <c r="AA200" s="3">
        <v>2</v>
      </c>
      <c r="AB200" s="3">
        <v>2</v>
      </c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</row>
    <row r="201" spans="1:49" s="1" customFormat="1" ht="13" x14ac:dyDescent="0.3">
      <c r="A201" s="29" t="s">
        <v>148</v>
      </c>
      <c r="B201" s="22" t="s">
        <v>148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>
        <v>2</v>
      </c>
      <c r="V201" s="3"/>
      <c r="W201" s="3">
        <v>1</v>
      </c>
      <c r="X201" s="3">
        <v>2</v>
      </c>
      <c r="Y201" s="3">
        <v>4</v>
      </c>
      <c r="Z201" s="3">
        <v>2</v>
      </c>
      <c r="AA201" s="3">
        <v>1</v>
      </c>
      <c r="AB201" s="3">
        <v>1</v>
      </c>
      <c r="AC201" s="3"/>
      <c r="AD201" s="3"/>
      <c r="AE201" s="3"/>
      <c r="AF201" s="3"/>
      <c r="AG201" s="3"/>
      <c r="AH201" s="3"/>
      <c r="AI201" s="3"/>
      <c r="AJ201" s="3"/>
      <c r="AK201" s="3"/>
      <c r="AL201" s="3">
        <v>1</v>
      </c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</row>
    <row r="202" spans="1:49" s="1" customFormat="1" ht="13" x14ac:dyDescent="0.3">
      <c r="A202" s="29" t="s">
        <v>334</v>
      </c>
      <c r="B202" s="22" t="s">
        <v>334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>
        <v>1</v>
      </c>
      <c r="AU202" s="3"/>
      <c r="AV202" s="3"/>
      <c r="AW202" s="3"/>
    </row>
    <row r="203" spans="1:49" s="1" customFormat="1" ht="13" x14ac:dyDescent="0.3">
      <c r="A203" s="29" t="s">
        <v>149</v>
      </c>
      <c r="B203" s="22" t="s">
        <v>149</v>
      </c>
      <c r="C203" s="3">
        <v>2</v>
      </c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>
        <v>1</v>
      </c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>
        <v>1</v>
      </c>
      <c r="AG203" s="3"/>
      <c r="AH203" s="3"/>
      <c r="AI203" s="3"/>
      <c r="AJ203" s="3">
        <v>1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</row>
    <row r="204" spans="1:49" s="1" customFormat="1" ht="13" x14ac:dyDescent="0.3">
      <c r="A204" s="29" t="s">
        <v>335</v>
      </c>
      <c r="B204" s="22" t="s">
        <v>335</v>
      </c>
      <c r="C204" s="3">
        <v>1</v>
      </c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</row>
    <row r="205" spans="1:49" s="1" customFormat="1" ht="13" x14ac:dyDescent="0.3">
      <c r="A205" s="29" t="s">
        <v>150</v>
      </c>
      <c r="B205" s="22" t="s">
        <v>150</v>
      </c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>
        <v>3</v>
      </c>
      <c r="AE205" s="3">
        <v>2</v>
      </c>
      <c r="AF205" s="3">
        <v>2</v>
      </c>
      <c r="AG205" s="3"/>
      <c r="AH205" s="3">
        <v>2</v>
      </c>
      <c r="AI205" s="3"/>
      <c r="AJ205" s="3"/>
      <c r="AK205" s="3"/>
      <c r="AL205" s="3">
        <v>1</v>
      </c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</row>
    <row r="206" spans="1:49" s="1" customFormat="1" ht="13" x14ac:dyDescent="0.3">
      <c r="A206" s="29" t="s">
        <v>151</v>
      </c>
      <c r="B206" s="22" t="s">
        <v>151</v>
      </c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>
        <v>2</v>
      </c>
      <c r="AE206" s="3"/>
      <c r="AF206" s="3"/>
      <c r="AG206" s="3"/>
      <c r="AH206" s="3">
        <v>3</v>
      </c>
      <c r="AI206" s="3"/>
      <c r="AJ206" s="3"/>
      <c r="AK206" s="3"/>
      <c r="AL206" s="3">
        <v>1</v>
      </c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</row>
    <row r="207" spans="1:49" s="1" customFormat="1" ht="13" x14ac:dyDescent="0.3">
      <c r="A207" s="29" t="s">
        <v>336</v>
      </c>
      <c r="B207" s="22" t="s">
        <v>336</v>
      </c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>
        <v>1</v>
      </c>
      <c r="AV207" s="3"/>
      <c r="AW207" s="3"/>
    </row>
    <row r="208" spans="1:49" s="1" customFormat="1" ht="13" x14ac:dyDescent="0.3">
      <c r="A208" s="29" t="s">
        <v>337</v>
      </c>
      <c r="B208" s="22" t="s">
        <v>337</v>
      </c>
      <c r="C208" s="3"/>
      <c r="D208" s="3"/>
      <c r="E208" s="3">
        <v>1</v>
      </c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>
        <v>4</v>
      </c>
      <c r="AV208" s="3"/>
      <c r="AW208" s="3"/>
    </row>
    <row r="209" spans="1:49" s="1" customFormat="1" ht="13" x14ac:dyDescent="0.3">
      <c r="A209" s="28" t="s">
        <v>153</v>
      </c>
      <c r="B209" s="22" t="s">
        <v>153</v>
      </c>
      <c r="C209" s="3">
        <v>2</v>
      </c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>
        <v>1</v>
      </c>
      <c r="T209" s="3">
        <v>1</v>
      </c>
      <c r="U209" s="3"/>
      <c r="V209" s="3"/>
      <c r="W209" s="3"/>
      <c r="X209" s="3">
        <v>2</v>
      </c>
      <c r="Y209" s="3">
        <v>2</v>
      </c>
      <c r="Z209" s="3">
        <v>2</v>
      </c>
      <c r="AA209" s="3">
        <v>2</v>
      </c>
      <c r="AB209" s="3">
        <v>2</v>
      </c>
      <c r="AC209" s="3"/>
      <c r="AD209" s="3"/>
      <c r="AE209" s="3"/>
      <c r="AF209" s="3"/>
      <c r="AG209" s="3"/>
      <c r="AH209" s="3"/>
      <c r="AI209" s="3"/>
      <c r="AJ209" s="3"/>
      <c r="AK209" s="3"/>
      <c r="AL209" s="3">
        <v>1</v>
      </c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</row>
    <row r="210" spans="1:49" s="1" customFormat="1" ht="13" x14ac:dyDescent="0.3">
      <c r="A210" s="29" t="s">
        <v>154</v>
      </c>
      <c r="B210" s="22" t="s">
        <v>154</v>
      </c>
      <c r="C210" s="3">
        <v>2</v>
      </c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>
        <v>2</v>
      </c>
      <c r="Q210" s="3"/>
      <c r="R210" s="3"/>
      <c r="S210" s="3">
        <v>3</v>
      </c>
      <c r="T210" s="3">
        <v>3</v>
      </c>
      <c r="U210" s="3"/>
      <c r="V210" s="3"/>
      <c r="W210" s="3">
        <v>2</v>
      </c>
      <c r="X210" s="3">
        <v>3</v>
      </c>
      <c r="Y210" s="3">
        <v>2</v>
      </c>
      <c r="Z210" s="3">
        <v>3</v>
      </c>
      <c r="AA210" s="3">
        <v>2</v>
      </c>
      <c r="AB210" s="3">
        <v>2</v>
      </c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</row>
    <row r="211" spans="1:49" s="1" customFormat="1" ht="13" x14ac:dyDescent="0.3">
      <c r="A211" s="29" t="s">
        <v>340</v>
      </c>
      <c r="B211" s="22" t="s">
        <v>340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>
        <v>1</v>
      </c>
      <c r="AU211" s="3"/>
      <c r="AV211" s="3"/>
      <c r="AW211" s="3"/>
    </row>
    <row r="212" spans="1:49" s="1" customFormat="1" ht="13" x14ac:dyDescent="0.3">
      <c r="A212" s="29" t="s">
        <v>341</v>
      </c>
      <c r="B212" s="22" t="s">
        <v>341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>
        <v>1</v>
      </c>
      <c r="AO212" s="3"/>
      <c r="AP212" s="3"/>
      <c r="AQ212" s="3"/>
      <c r="AR212" s="3">
        <v>1</v>
      </c>
      <c r="AS212" s="3"/>
      <c r="AT212" s="3"/>
      <c r="AU212" s="3"/>
      <c r="AV212" s="3"/>
      <c r="AW212" s="3"/>
    </row>
    <row r="213" spans="1:49" s="1" customFormat="1" ht="13" x14ac:dyDescent="0.3">
      <c r="A213" s="29" t="s">
        <v>342</v>
      </c>
      <c r="B213" s="22" t="s">
        <v>342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>
        <v>1</v>
      </c>
      <c r="AU213" s="3"/>
      <c r="AV213" s="3"/>
      <c r="AW213" s="3"/>
    </row>
    <row r="214" spans="1:49" s="1" customFormat="1" ht="13" x14ac:dyDescent="0.3">
      <c r="A214" s="29" t="s">
        <v>343</v>
      </c>
      <c r="B214" s="22" t="s">
        <v>343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>
        <v>1</v>
      </c>
      <c r="X214" s="3">
        <v>1</v>
      </c>
      <c r="Y214" s="3">
        <v>4</v>
      </c>
      <c r="Z214" s="3">
        <v>4</v>
      </c>
      <c r="AA214" s="3">
        <v>1</v>
      </c>
      <c r="AB214" s="3">
        <v>1</v>
      </c>
      <c r="AC214" s="3"/>
      <c r="AD214" s="3"/>
      <c r="AE214" s="3">
        <v>1</v>
      </c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</row>
    <row r="215" spans="1:49" s="1" customFormat="1" ht="13" x14ac:dyDescent="0.3">
      <c r="A215" s="29" t="s">
        <v>344</v>
      </c>
      <c r="B215" s="22" t="s">
        <v>344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>
        <v>1</v>
      </c>
      <c r="AQ215" s="3">
        <v>1</v>
      </c>
      <c r="AR215" s="3"/>
      <c r="AS215" s="3">
        <v>1</v>
      </c>
      <c r="AT215" s="3">
        <v>1</v>
      </c>
      <c r="AU215" s="3">
        <v>1</v>
      </c>
      <c r="AV215" s="3"/>
      <c r="AW215" s="3"/>
    </row>
    <row r="216" spans="1:49" s="1" customFormat="1" ht="13" x14ac:dyDescent="0.3">
      <c r="A216" s="29" t="s">
        <v>156</v>
      </c>
      <c r="B216" s="22" t="s">
        <v>156</v>
      </c>
      <c r="C216" s="3">
        <v>1</v>
      </c>
      <c r="D216" s="3"/>
      <c r="E216" s="3"/>
      <c r="F216" s="3"/>
      <c r="G216" s="3"/>
      <c r="H216" s="3"/>
      <c r="I216" s="3">
        <v>1</v>
      </c>
      <c r="J216" s="3"/>
      <c r="K216" s="3">
        <v>2</v>
      </c>
      <c r="L216" s="3"/>
      <c r="M216" s="3"/>
      <c r="N216" s="3"/>
      <c r="O216" s="3"/>
      <c r="P216" s="3">
        <v>2</v>
      </c>
      <c r="Q216" s="3"/>
      <c r="R216" s="3">
        <v>1</v>
      </c>
      <c r="S216" s="3"/>
      <c r="T216" s="3"/>
      <c r="U216" s="3"/>
      <c r="V216" s="3"/>
      <c r="W216" s="3">
        <v>1</v>
      </c>
      <c r="X216" s="3">
        <v>1</v>
      </c>
      <c r="Y216" s="3"/>
      <c r="Z216" s="3"/>
      <c r="AA216" s="3">
        <v>1</v>
      </c>
      <c r="AB216" s="3">
        <v>1</v>
      </c>
      <c r="AC216" s="3"/>
      <c r="AD216" s="3"/>
      <c r="AE216" s="3">
        <v>4</v>
      </c>
      <c r="AF216" s="3">
        <v>2</v>
      </c>
      <c r="AG216" s="3"/>
      <c r="AH216" s="3"/>
      <c r="AI216" s="3"/>
      <c r="AJ216" s="3"/>
      <c r="AK216" s="3"/>
      <c r="AL216" s="3">
        <v>1</v>
      </c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</row>
    <row r="217" spans="1:49" s="1" customFormat="1" ht="13" x14ac:dyDescent="0.3">
      <c r="A217" s="29" t="s">
        <v>157</v>
      </c>
      <c r="B217" s="22" t="s">
        <v>157</v>
      </c>
      <c r="C217" s="3"/>
      <c r="D217" s="3"/>
      <c r="E217" s="3"/>
      <c r="F217" s="3"/>
      <c r="G217" s="3"/>
      <c r="H217" s="3"/>
      <c r="I217" s="3">
        <v>2</v>
      </c>
      <c r="J217" s="3"/>
      <c r="K217" s="3">
        <v>3</v>
      </c>
      <c r="L217" s="3">
        <v>3</v>
      </c>
      <c r="M217" s="3"/>
      <c r="N217" s="3">
        <v>3</v>
      </c>
      <c r="O217" s="3">
        <v>3</v>
      </c>
      <c r="P217" s="3">
        <v>3</v>
      </c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>
        <v>3</v>
      </c>
      <c r="AH217" s="3"/>
      <c r="AI217" s="3"/>
      <c r="AJ217" s="3"/>
      <c r="AK217" s="3">
        <v>3</v>
      </c>
      <c r="AL217" s="3"/>
      <c r="AM217" s="3"/>
      <c r="AN217" s="3">
        <v>1</v>
      </c>
      <c r="AO217" s="3"/>
      <c r="AP217" s="3">
        <v>1</v>
      </c>
      <c r="AQ217" s="3">
        <v>1</v>
      </c>
      <c r="AR217" s="3">
        <v>1</v>
      </c>
      <c r="AS217" s="3"/>
      <c r="AT217" s="3"/>
      <c r="AU217" s="3"/>
      <c r="AV217" s="3"/>
      <c r="AW217" s="3"/>
    </row>
    <row r="218" spans="1:49" s="1" customFormat="1" ht="13" x14ac:dyDescent="0.3">
      <c r="A218" s="29" t="s">
        <v>345</v>
      </c>
      <c r="B218" s="22" t="s">
        <v>345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>
        <v>1</v>
      </c>
      <c r="AQ218" s="3"/>
      <c r="AR218" s="3">
        <v>1</v>
      </c>
      <c r="AS218" s="3"/>
      <c r="AT218" s="3"/>
      <c r="AU218" s="3"/>
      <c r="AV218" s="3"/>
      <c r="AW218" s="3"/>
    </row>
    <row r="219" spans="1:49" s="1" customFormat="1" ht="13" x14ac:dyDescent="0.3">
      <c r="A219" s="29" t="s">
        <v>158</v>
      </c>
      <c r="B219" s="22" t="s">
        <v>158</v>
      </c>
      <c r="C219" s="3">
        <v>2</v>
      </c>
      <c r="D219" s="3"/>
      <c r="E219" s="3"/>
      <c r="F219" s="3"/>
      <c r="G219" s="3"/>
      <c r="H219" s="3"/>
      <c r="I219" s="3"/>
      <c r="J219" s="3"/>
      <c r="K219" s="3">
        <v>3</v>
      </c>
      <c r="L219" s="3"/>
      <c r="M219" s="3"/>
      <c r="N219" s="3"/>
      <c r="O219" s="3"/>
      <c r="P219" s="3">
        <v>3</v>
      </c>
      <c r="Q219" s="3"/>
      <c r="R219" s="3">
        <v>3</v>
      </c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>
        <v>2</v>
      </c>
      <c r="AG219" s="3"/>
      <c r="AH219" s="3"/>
      <c r="AI219" s="3"/>
      <c r="AJ219" s="3"/>
      <c r="AK219" s="3"/>
      <c r="AL219" s="3">
        <v>1</v>
      </c>
      <c r="AM219" s="3"/>
      <c r="AN219" s="3">
        <v>3</v>
      </c>
      <c r="AO219" s="3">
        <v>3</v>
      </c>
      <c r="AP219" s="3">
        <v>3</v>
      </c>
      <c r="AQ219" s="3">
        <v>3</v>
      </c>
      <c r="AR219" s="3">
        <v>3</v>
      </c>
      <c r="AS219" s="3">
        <v>3</v>
      </c>
      <c r="AT219" s="3">
        <v>3</v>
      </c>
      <c r="AU219" s="3"/>
      <c r="AV219" s="3"/>
      <c r="AW219" s="3"/>
    </row>
    <row r="220" spans="1:49" s="1" customFormat="1" ht="13" x14ac:dyDescent="0.3">
      <c r="A220" s="29" t="s">
        <v>346</v>
      </c>
      <c r="B220" s="22" t="s">
        <v>346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>
        <v>2</v>
      </c>
      <c r="AE220" s="3">
        <v>2</v>
      </c>
      <c r="AF220" s="3">
        <v>2</v>
      </c>
      <c r="AG220" s="3"/>
      <c r="AH220" s="3">
        <v>3</v>
      </c>
      <c r="AI220" s="3">
        <v>2</v>
      </c>
      <c r="AJ220" s="3">
        <v>3</v>
      </c>
      <c r="AK220" s="3"/>
      <c r="AL220" s="3">
        <v>1</v>
      </c>
      <c r="AM220" s="3">
        <v>1</v>
      </c>
      <c r="AN220" s="3"/>
      <c r="AO220" s="3"/>
      <c r="AP220" s="3"/>
      <c r="AQ220" s="3"/>
      <c r="AR220" s="3"/>
      <c r="AS220" s="3"/>
      <c r="AT220" s="3"/>
      <c r="AU220" s="3"/>
      <c r="AV220" s="3"/>
      <c r="AW220" s="3"/>
    </row>
    <row r="221" spans="1:49" s="1" customFormat="1" ht="13" x14ac:dyDescent="0.3">
      <c r="A221" s="29" t="s">
        <v>160</v>
      </c>
      <c r="B221" s="22" t="s">
        <v>160</v>
      </c>
      <c r="C221" s="3">
        <v>1</v>
      </c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>
        <v>3</v>
      </c>
      <c r="X221" s="3"/>
      <c r="Y221" s="3">
        <v>3</v>
      </c>
      <c r="Z221" s="3">
        <v>1</v>
      </c>
      <c r="AA221" s="3">
        <v>1</v>
      </c>
      <c r="AB221" s="3">
        <v>1</v>
      </c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>
        <v>1</v>
      </c>
      <c r="AQ221" s="3"/>
      <c r="AR221" s="3"/>
      <c r="AS221" s="3"/>
      <c r="AT221" s="3"/>
      <c r="AU221" s="3"/>
      <c r="AV221" s="3"/>
      <c r="AW221" s="3"/>
    </row>
    <row r="222" spans="1:49" s="1" customFormat="1" ht="13" x14ac:dyDescent="0.3">
      <c r="A222" s="29" t="s">
        <v>347</v>
      </c>
      <c r="B222" s="22" t="s">
        <v>347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>
        <v>1</v>
      </c>
      <c r="AQ222" s="3"/>
      <c r="AR222" s="3"/>
      <c r="AS222" s="3"/>
      <c r="AT222" s="3">
        <v>1</v>
      </c>
      <c r="AU222" s="3"/>
      <c r="AV222" s="3"/>
      <c r="AW222" s="3"/>
    </row>
    <row r="223" spans="1:49" s="1" customFormat="1" ht="13" x14ac:dyDescent="0.3">
      <c r="A223" s="29" t="s">
        <v>161</v>
      </c>
      <c r="B223" s="22" t="s">
        <v>161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>
        <v>2</v>
      </c>
      <c r="AE223" s="3">
        <v>2</v>
      </c>
      <c r="AF223" s="3">
        <v>2</v>
      </c>
      <c r="AG223" s="3"/>
      <c r="AH223" s="3">
        <v>2</v>
      </c>
      <c r="AI223" s="3">
        <v>1</v>
      </c>
      <c r="AJ223" s="3">
        <v>2</v>
      </c>
      <c r="AK223" s="3"/>
      <c r="AL223" s="3">
        <v>1</v>
      </c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</row>
    <row r="224" spans="1:49" s="1" customFormat="1" ht="13" x14ac:dyDescent="0.3">
      <c r="A224" s="29" t="s">
        <v>162</v>
      </c>
      <c r="B224" s="22" t="s">
        <v>162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>
        <v>1</v>
      </c>
      <c r="AF224" s="3"/>
      <c r="AG224" s="3"/>
      <c r="AH224" s="3">
        <v>2</v>
      </c>
      <c r="AI224" s="3">
        <v>2</v>
      </c>
      <c r="AJ224" s="3">
        <v>2</v>
      </c>
      <c r="AK224" s="3"/>
      <c r="AL224" s="3">
        <v>1</v>
      </c>
      <c r="AM224" s="3"/>
      <c r="AN224" s="3"/>
      <c r="AO224" s="3"/>
      <c r="AP224" s="3"/>
      <c r="AQ224" s="3"/>
      <c r="AR224" s="3"/>
      <c r="AS224" s="3"/>
      <c r="AT224" s="3"/>
      <c r="AU224" s="3">
        <v>1</v>
      </c>
      <c r="AV224" s="3"/>
      <c r="AW224" s="3"/>
    </row>
    <row r="225" spans="1:49" s="1" customFormat="1" ht="13" x14ac:dyDescent="0.3">
      <c r="A225" s="29" t="s">
        <v>163</v>
      </c>
      <c r="B225" s="22" t="s">
        <v>163</v>
      </c>
      <c r="C225" s="3">
        <v>2</v>
      </c>
      <c r="D225" s="3"/>
      <c r="E225" s="3"/>
      <c r="F225" s="3"/>
      <c r="G225" s="3"/>
      <c r="H225" s="3"/>
      <c r="I225" s="3"/>
      <c r="J225" s="3"/>
      <c r="K225" s="3">
        <v>1</v>
      </c>
      <c r="L225" s="3"/>
      <c r="M225" s="3"/>
      <c r="N225" s="3"/>
      <c r="O225" s="3"/>
      <c r="P225" s="3">
        <v>1</v>
      </c>
      <c r="Q225" s="3"/>
      <c r="R225" s="3"/>
      <c r="S225" s="3"/>
      <c r="T225" s="3"/>
      <c r="U225" s="3"/>
      <c r="V225" s="3"/>
      <c r="W225" s="3">
        <v>1</v>
      </c>
      <c r="X225" s="3">
        <v>2</v>
      </c>
      <c r="Y225" s="3"/>
      <c r="Z225" s="3">
        <v>2</v>
      </c>
      <c r="AA225" s="3">
        <v>1</v>
      </c>
      <c r="AB225" s="3">
        <v>1</v>
      </c>
      <c r="AC225" s="3"/>
      <c r="AD225" s="3"/>
      <c r="AE225" s="3">
        <v>1</v>
      </c>
      <c r="AF225" s="3">
        <v>1</v>
      </c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</row>
    <row r="226" spans="1:49" s="1" customFormat="1" ht="13" x14ac:dyDescent="0.3">
      <c r="A226" s="30" t="s">
        <v>164</v>
      </c>
      <c r="B226" s="22" t="s">
        <v>164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>
        <v>2</v>
      </c>
      <c r="W226" s="3"/>
      <c r="X226" s="3"/>
      <c r="Y226" s="3">
        <v>3</v>
      </c>
      <c r="Z226" s="3">
        <v>3</v>
      </c>
      <c r="AA226" s="3">
        <v>3</v>
      </c>
      <c r="AB226" s="3">
        <v>3</v>
      </c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</row>
    <row r="227" spans="1:49" s="1" customFormat="1" ht="13" x14ac:dyDescent="0.3">
      <c r="A227" s="30" t="s">
        <v>165</v>
      </c>
      <c r="B227" s="22" t="s">
        <v>165</v>
      </c>
      <c r="C227" s="3">
        <v>2</v>
      </c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>
        <v>1</v>
      </c>
      <c r="X227" s="3">
        <v>1</v>
      </c>
      <c r="Y227" s="3"/>
      <c r="Z227" s="3"/>
      <c r="AA227" s="3">
        <v>2</v>
      </c>
      <c r="AB227" s="3">
        <v>2</v>
      </c>
      <c r="AC227" s="3"/>
      <c r="AD227" s="3"/>
      <c r="AE227" s="3">
        <v>1</v>
      </c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</row>
    <row r="228" spans="1:49" s="1" customFormat="1" ht="13" x14ac:dyDescent="0.3">
      <c r="A228" s="30" t="s">
        <v>348</v>
      </c>
      <c r="B228" s="22" t="s">
        <v>348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>
        <v>1</v>
      </c>
      <c r="AQ228" s="3"/>
      <c r="AR228" s="3">
        <v>1</v>
      </c>
      <c r="AS228" s="3"/>
      <c r="AT228" s="3"/>
      <c r="AU228" s="3"/>
      <c r="AV228" s="3"/>
      <c r="AW228" s="3"/>
    </row>
    <row r="229" spans="1:49" s="1" customFormat="1" ht="13" x14ac:dyDescent="0.3">
      <c r="A229" s="34" t="s">
        <v>350</v>
      </c>
      <c r="B229" s="22" t="s">
        <v>350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>
        <v>1</v>
      </c>
      <c r="AV229" s="3"/>
      <c r="AW229" s="3"/>
    </row>
    <row r="230" spans="1:49" s="1" customFormat="1" ht="13" x14ac:dyDescent="0.3">
      <c r="A230" s="31" t="s">
        <v>351</v>
      </c>
      <c r="B230" s="22" t="s">
        <v>351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>
        <v>1</v>
      </c>
      <c r="AQ230" s="3"/>
      <c r="AR230" s="3"/>
      <c r="AS230" s="3"/>
      <c r="AT230" s="3">
        <v>1</v>
      </c>
      <c r="AU230" s="3">
        <v>1</v>
      </c>
      <c r="AV230" s="3"/>
      <c r="AW230" s="3"/>
    </row>
    <row r="231" spans="1:49" s="1" customFormat="1" ht="13" x14ac:dyDescent="0.3">
      <c r="A231" s="31" t="s">
        <v>352</v>
      </c>
      <c r="B231" s="22" t="s">
        <v>352</v>
      </c>
      <c r="C231" s="3"/>
      <c r="D231" s="3"/>
      <c r="E231" s="3"/>
      <c r="F231" s="3"/>
      <c r="G231" s="3"/>
      <c r="H231" s="3"/>
      <c r="I231" s="3">
        <v>1</v>
      </c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</row>
    <row r="232" spans="1:49" s="1" customFormat="1" ht="13" x14ac:dyDescent="0.3">
      <c r="A232" s="31" t="s">
        <v>353</v>
      </c>
      <c r="B232" s="22" t="s">
        <v>353</v>
      </c>
      <c r="C232" s="3"/>
      <c r="D232" s="3"/>
      <c r="E232" s="3">
        <v>1</v>
      </c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</row>
    <row r="233" spans="1:49" s="1" customFormat="1" ht="13" x14ac:dyDescent="0.3">
      <c r="A233" s="31" t="s">
        <v>166</v>
      </c>
      <c r="B233" s="22" t="s">
        <v>166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>
        <v>2</v>
      </c>
      <c r="Q233" s="3"/>
      <c r="R233" s="3"/>
      <c r="S233" s="3"/>
      <c r="T233" s="3"/>
      <c r="U233" s="3"/>
      <c r="V233" s="3"/>
      <c r="W233" s="3">
        <v>1</v>
      </c>
      <c r="X233" s="3">
        <v>1</v>
      </c>
      <c r="Y233" s="3"/>
      <c r="Z233" s="3"/>
      <c r="AA233" s="3">
        <v>1</v>
      </c>
      <c r="AB233" s="3">
        <v>1</v>
      </c>
      <c r="AC233" s="3"/>
      <c r="AD233" s="3">
        <v>3</v>
      </c>
      <c r="AE233" s="3">
        <v>3</v>
      </c>
      <c r="AF233" s="3">
        <v>3</v>
      </c>
      <c r="AG233" s="3"/>
      <c r="AH233" s="3">
        <v>3</v>
      </c>
      <c r="AI233" s="3">
        <v>2</v>
      </c>
      <c r="AJ233" s="3">
        <v>3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</row>
    <row r="234" spans="1:49" s="1" customFormat="1" ht="13" x14ac:dyDescent="0.3">
      <c r="A234" s="33" t="s">
        <v>355</v>
      </c>
      <c r="B234" s="23" t="s">
        <v>355</v>
      </c>
      <c r="C234" s="20"/>
      <c r="D234" s="20"/>
      <c r="E234" s="20"/>
      <c r="F234" s="20"/>
      <c r="G234" s="20"/>
      <c r="H234" s="20"/>
      <c r="I234" s="20">
        <v>1</v>
      </c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>
        <v>1</v>
      </c>
      <c r="AB234" s="20">
        <v>1</v>
      </c>
      <c r="AC234" s="20"/>
      <c r="AD234" s="20"/>
      <c r="AE234" s="20">
        <v>1</v>
      </c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3"/>
      <c r="AQ234" s="3"/>
      <c r="AR234" s="3">
        <v>1</v>
      </c>
      <c r="AS234" s="3"/>
      <c r="AT234" s="20"/>
      <c r="AU234" s="20"/>
      <c r="AV234" s="20"/>
      <c r="AW234" s="20"/>
    </row>
    <row r="235" spans="1:49" s="1" customFormat="1" ht="13" x14ac:dyDescent="0.3">
      <c r="A235" s="31" t="s">
        <v>356</v>
      </c>
      <c r="B235" s="22" t="s">
        <v>356</v>
      </c>
      <c r="C235" s="3"/>
      <c r="D235" s="3"/>
      <c r="E235" s="3">
        <v>1</v>
      </c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</row>
    <row r="236" spans="1:49" s="1" customFormat="1" ht="13" x14ac:dyDescent="0.3">
      <c r="A236" s="31" t="s">
        <v>358</v>
      </c>
      <c r="B236" s="22" t="s">
        <v>358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>
        <v>3</v>
      </c>
      <c r="AO236" s="3">
        <v>3</v>
      </c>
      <c r="AP236" s="3">
        <v>3</v>
      </c>
      <c r="AQ236" s="3">
        <v>3</v>
      </c>
      <c r="AR236" s="3">
        <v>3</v>
      </c>
      <c r="AS236" s="3">
        <v>1</v>
      </c>
      <c r="AT236" s="3">
        <v>3</v>
      </c>
      <c r="AU236" s="3"/>
      <c r="AV236" s="3"/>
      <c r="AW236" s="3">
        <v>3</v>
      </c>
    </row>
    <row r="237" spans="1:49" s="1" customFormat="1" ht="13" x14ac:dyDescent="0.3">
      <c r="A237" s="30" t="s">
        <v>167</v>
      </c>
      <c r="B237" s="22" t="s">
        <v>167</v>
      </c>
      <c r="C237" s="3">
        <v>2</v>
      </c>
      <c r="D237" s="3"/>
      <c r="E237" s="3"/>
      <c r="F237" s="3"/>
      <c r="G237" s="3"/>
      <c r="H237" s="3"/>
      <c r="I237" s="3"/>
      <c r="J237" s="3"/>
      <c r="K237" s="3">
        <v>1</v>
      </c>
      <c r="L237" s="3"/>
      <c r="M237" s="3"/>
      <c r="N237" s="3"/>
      <c r="O237" s="3">
        <v>1</v>
      </c>
      <c r="P237" s="3">
        <v>1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>
        <v>2</v>
      </c>
      <c r="AB237" s="3">
        <v>2</v>
      </c>
      <c r="AC237" s="3"/>
      <c r="AD237" s="3"/>
      <c r="AE237" s="3">
        <v>1</v>
      </c>
      <c r="AF237" s="3">
        <v>1</v>
      </c>
      <c r="AG237" s="3"/>
      <c r="AH237" s="3"/>
      <c r="AI237" s="3"/>
      <c r="AJ237" s="3"/>
      <c r="AK237" s="3"/>
      <c r="AL237" s="3"/>
      <c r="AM237" s="3"/>
      <c r="AN237" s="3">
        <v>1</v>
      </c>
      <c r="AO237" s="3">
        <v>1</v>
      </c>
      <c r="AP237" s="3">
        <v>1</v>
      </c>
      <c r="AQ237" s="3">
        <v>1</v>
      </c>
      <c r="AR237" s="3">
        <v>1</v>
      </c>
      <c r="AS237" s="3"/>
      <c r="AT237" s="3"/>
      <c r="AU237" s="3"/>
      <c r="AV237" s="3"/>
      <c r="AW237" s="3">
        <v>4</v>
      </c>
    </row>
    <row r="238" spans="1:49" s="1" customFormat="1" ht="13" x14ac:dyDescent="0.3">
      <c r="A238" s="30" t="s">
        <v>360</v>
      </c>
      <c r="B238" s="22" t="s">
        <v>360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>
        <v>1</v>
      </c>
      <c r="AO238" s="3"/>
      <c r="AP238" s="3">
        <v>1</v>
      </c>
      <c r="AQ238" s="3">
        <v>1</v>
      </c>
      <c r="AR238" s="3"/>
      <c r="AS238" s="3"/>
      <c r="AT238" s="3">
        <v>1</v>
      </c>
      <c r="AU238" s="3">
        <v>1</v>
      </c>
      <c r="AV238" s="3"/>
      <c r="AW238" s="3"/>
    </row>
    <row r="239" spans="1:49" s="1" customFormat="1" ht="13" x14ac:dyDescent="0.3">
      <c r="A239" s="30" t="s">
        <v>361</v>
      </c>
      <c r="B239" s="22" t="s">
        <v>361</v>
      </c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>
        <v>4</v>
      </c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>
        <v>3</v>
      </c>
      <c r="AE239" s="3">
        <v>3</v>
      </c>
      <c r="AF239" s="3"/>
      <c r="AG239" s="3"/>
      <c r="AH239" s="3">
        <v>3</v>
      </c>
      <c r="AI239" s="3"/>
      <c r="AJ239" s="3">
        <v>3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</row>
    <row r="240" spans="1:49" s="1" customFormat="1" ht="13" x14ac:dyDescent="0.3">
      <c r="A240" s="30" t="s">
        <v>362</v>
      </c>
      <c r="B240" s="22" t="s">
        <v>362</v>
      </c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>
        <v>2</v>
      </c>
      <c r="Z240" s="3">
        <v>3</v>
      </c>
      <c r="AA240" s="3">
        <v>2</v>
      </c>
      <c r="AB240" s="3">
        <v>2</v>
      </c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</row>
    <row r="241" spans="1:49" s="1" customFormat="1" ht="13" x14ac:dyDescent="0.3">
      <c r="A241" s="30" t="s">
        <v>169</v>
      </c>
      <c r="B241" s="22" t="s">
        <v>169</v>
      </c>
      <c r="C241" s="3"/>
      <c r="D241" s="3"/>
      <c r="E241" s="3"/>
      <c r="F241" s="3"/>
      <c r="G241" s="3"/>
      <c r="H241" s="3"/>
      <c r="I241" s="3"/>
      <c r="J241" s="3"/>
      <c r="K241" s="3">
        <v>1</v>
      </c>
      <c r="L241" s="3"/>
      <c r="M241" s="3"/>
      <c r="N241" s="3"/>
      <c r="O241" s="3"/>
      <c r="P241" s="3">
        <v>1</v>
      </c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>
        <v>2</v>
      </c>
      <c r="AE241" s="3">
        <v>2</v>
      </c>
      <c r="AF241" s="3">
        <v>2</v>
      </c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</row>
    <row r="242" spans="1:49" s="1" customFormat="1" ht="13" x14ac:dyDescent="0.3">
      <c r="A242" s="30" t="s">
        <v>363</v>
      </c>
      <c r="B242" s="22" t="s">
        <v>363</v>
      </c>
      <c r="C242" s="3"/>
      <c r="D242" s="3"/>
      <c r="E242" s="3"/>
      <c r="F242" s="3"/>
      <c r="G242" s="3"/>
      <c r="H242" s="3"/>
      <c r="I242" s="3">
        <v>1</v>
      </c>
      <c r="J242" s="3"/>
      <c r="K242" s="3">
        <v>1</v>
      </c>
      <c r="L242" s="3"/>
      <c r="M242" s="3"/>
      <c r="N242" s="3"/>
      <c r="O242" s="3"/>
      <c r="P242" s="3">
        <v>1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>
        <v>1</v>
      </c>
      <c r="AG242" s="3"/>
      <c r="AH242" s="3"/>
      <c r="AI242" s="3"/>
      <c r="AJ242" s="3"/>
      <c r="AK242" s="3"/>
      <c r="AL242" s="3">
        <v>4</v>
      </c>
      <c r="AM242" s="3"/>
      <c r="AN242" s="3">
        <v>1</v>
      </c>
      <c r="AO242" s="3">
        <v>1</v>
      </c>
      <c r="AP242" s="3">
        <v>1</v>
      </c>
      <c r="AQ242" s="3">
        <v>1</v>
      </c>
      <c r="AR242" s="3">
        <v>1</v>
      </c>
      <c r="AS242" s="3"/>
      <c r="AT242" s="3"/>
      <c r="AU242" s="3"/>
      <c r="AV242" s="3"/>
      <c r="AW242" s="3"/>
    </row>
    <row r="243" spans="1:49" s="1" customFormat="1" ht="13" x14ac:dyDescent="0.3">
      <c r="A243" s="30" t="s">
        <v>364</v>
      </c>
      <c r="B243" s="22" t="s">
        <v>364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>
        <v>1</v>
      </c>
      <c r="AV243" s="3"/>
      <c r="AW243" s="3"/>
    </row>
    <row r="244" spans="1:49" s="1" customFormat="1" ht="13" x14ac:dyDescent="0.3">
      <c r="A244" s="30" t="s">
        <v>365</v>
      </c>
      <c r="B244" s="22" t="s">
        <v>365</v>
      </c>
      <c r="C244" s="3"/>
      <c r="D244" s="3"/>
      <c r="E244" s="3"/>
      <c r="F244" s="3"/>
      <c r="G244" s="3"/>
      <c r="H244" s="3"/>
      <c r="I244" s="3"/>
      <c r="J244" s="3"/>
      <c r="K244" s="3">
        <v>1</v>
      </c>
      <c r="L244" s="3"/>
      <c r="M244" s="3"/>
      <c r="N244" s="3"/>
      <c r="O244" s="3"/>
      <c r="P244" s="3">
        <v>1</v>
      </c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>
        <v>1</v>
      </c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</row>
    <row r="245" spans="1:49" s="1" customFormat="1" ht="13" x14ac:dyDescent="0.3">
      <c r="A245" s="30" t="s">
        <v>170</v>
      </c>
      <c r="B245" s="22" t="s">
        <v>170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>
        <v>3</v>
      </c>
      <c r="AE245" s="3">
        <v>2</v>
      </c>
      <c r="AF245" s="3">
        <v>2</v>
      </c>
      <c r="AG245" s="3"/>
      <c r="AH245" s="3">
        <v>3</v>
      </c>
      <c r="AI245" s="3">
        <v>2</v>
      </c>
      <c r="AJ245" s="3">
        <v>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</row>
    <row r="246" spans="1:49" s="1" customFormat="1" ht="13" x14ac:dyDescent="0.3">
      <c r="A246" s="30" t="s">
        <v>366</v>
      </c>
      <c r="B246" s="22" t="s">
        <v>366</v>
      </c>
      <c r="C246" s="3">
        <v>1</v>
      </c>
      <c r="D246" s="3"/>
      <c r="E246" s="3"/>
      <c r="F246" s="3"/>
      <c r="G246" s="3"/>
      <c r="H246" s="3"/>
      <c r="I246" s="3"/>
      <c r="J246" s="3"/>
      <c r="K246" s="3">
        <v>1</v>
      </c>
      <c r="L246" s="3"/>
      <c r="M246" s="3"/>
      <c r="N246" s="3"/>
      <c r="O246" s="3"/>
      <c r="P246" s="3">
        <v>1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>
        <v>1</v>
      </c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</row>
    <row r="247" spans="1:49" s="1" customFormat="1" ht="13" x14ac:dyDescent="0.3">
      <c r="A247" s="32" t="s">
        <v>367</v>
      </c>
      <c r="B247" s="22" t="s">
        <v>367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>
        <v>1</v>
      </c>
      <c r="AU247" s="3"/>
      <c r="AV247" s="3"/>
      <c r="AW247" s="3"/>
    </row>
    <row r="248" spans="1:49" s="1" customFormat="1" ht="13" x14ac:dyDescent="0.3">
      <c r="A248" s="32" t="s">
        <v>368</v>
      </c>
      <c r="B248" s="22" t="s">
        <v>368</v>
      </c>
      <c r="C248" s="3">
        <v>1</v>
      </c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>
        <v>1</v>
      </c>
      <c r="X248" s="3">
        <v>1</v>
      </c>
      <c r="Y248" s="3"/>
      <c r="Z248" s="3"/>
      <c r="AA248" s="3">
        <v>1</v>
      </c>
      <c r="AB248" s="3">
        <v>1</v>
      </c>
      <c r="AC248" s="3"/>
      <c r="AD248" s="3"/>
      <c r="AE248" s="3">
        <v>1</v>
      </c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</row>
    <row r="249" spans="1:49" s="1" customFormat="1" ht="13" x14ac:dyDescent="0.3">
      <c r="A249" s="32" t="s">
        <v>172</v>
      </c>
      <c r="B249" s="22" t="s">
        <v>172</v>
      </c>
      <c r="C249" s="3"/>
      <c r="D249" s="3"/>
      <c r="E249" s="3"/>
      <c r="F249" s="3"/>
      <c r="G249" s="3"/>
      <c r="H249" s="3">
        <v>4</v>
      </c>
      <c r="I249" s="3"/>
      <c r="J249" s="3"/>
      <c r="K249" s="3"/>
      <c r="L249" s="3"/>
      <c r="M249" s="3"/>
      <c r="N249" s="3"/>
      <c r="O249" s="3"/>
      <c r="P249" s="3"/>
      <c r="Q249" s="3">
        <v>3</v>
      </c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</row>
    <row r="250" spans="1:49" s="1" customFormat="1" ht="13" x14ac:dyDescent="0.3">
      <c r="A250" s="32" t="s">
        <v>173</v>
      </c>
      <c r="B250" s="22" t="s">
        <v>173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3</v>
      </c>
      <c r="R250" s="3"/>
      <c r="S250" s="3"/>
      <c r="T250" s="3"/>
      <c r="U250" s="3"/>
      <c r="V250" s="3"/>
      <c r="W250" s="3"/>
      <c r="X250" s="3"/>
      <c r="Y250" s="3"/>
      <c r="Z250" s="3"/>
      <c r="AA250" s="3">
        <v>2</v>
      </c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>
        <v>4</v>
      </c>
      <c r="AQ250" s="3"/>
      <c r="AR250" s="3"/>
      <c r="AS250" s="3"/>
      <c r="AT250" s="3"/>
      <c r="AU250" s="3"/>
      <c r="AV250" s="3"/>
      <c r="AW250" s="3"/>
    </row>
    <row r="251" spans="1:49" s="1" customFormat="1" ht="13" x14ac:dyDescent="0.3">
      <c r="A251" s="30" t="s">
        <v>174</v>
      </c>
      <c r="B251" s="22" t="s">
        <v>174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>
        <v>1</v>
      </c>
      <c r="X251" s="3">
        <v>3</v>
      </c>
      <c r="Y251" s="3">
        <v>1</v>
      </c>
      <c r="Z251" s="3">
        <v>1</v>
      </c>
      <c r="AA251" s="3">
        <v>3</v>
      </c>
      <c r="AB251" s="3">
        <v>3</v>
      </c>
      <c r="AC251" s="3"/>
      <c r="AD251" s="3"/>
      <c r="AE251" s="3">
        <v>1</v>
      </c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</row>
    <row r="252" spans="1:49" s="1" customFormat="1" ht="13" x14ac:dyDescent="0.3">
      <c r="A252" s="30" t="s">
        <v>369</v>
      </c>
      <c r="B252" s="22" t="s">
        <v>369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>
        <v>1</v>
      </c>
      <c r="AR252" s="3"/>
      <c r="AS252" s="3">
        <v>1</v>
      </c>
      <c r="AT252" s="3"/>
      <c r="AU252" s="3">
        <v>1</v>
      </c>
      <c r="AV252" s="3"/>
      <c r="AW252" s="3"/>
    </row>
    <row r="253" spans="1:49" s="1" customFormat="1" ht="13" x14ac:dyDescent="0.3">
      <c r="A253" s="30" t="s">
        <v>370</v>
      </c>
      <c r="B253" s="22" t="s">
        <v>370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>
        <v>1</v>
      </c>
      <c r="AO253" s="3"/>
      <c r="AP253" s="3">
        <v>1</v>
      </c>
      <c r="AQ253" s="3"/>
      <c r="AR253" s="3"/>
      <c r="AS253" s="3"/>
      <c r="AT253" s="3"/>
      <c r="AU253" s="3"/>
      <c r="AV253" s="3"/>
      <c r="AW253" s="3"/>
    </row>
    <row r="254" spans="1:49" s="1" customFormat="1" ht="13" x14ac:dyDescent="0.3">
      <c r="A254" s="30" t="s">
        <v>371</v>
      </c>
      <c r="B254" s="22" t="s">
        <v>371</v>
      </c>
      <c r="C254" s="3"/>
      <c r="D254" s="3"/>
      <c r="E254" s="3"/>
      <c r="F254" s="3"/>
      <c r="G254" s="3"/>
      <c r="H254" s="3"/>
      <c r="I254" s="3"/>
      <c r="J254" s="3"/>
      <c r="K254" s="3"/>
      <c r="L254" s="3">
        <v>1</v>
      </c>
      <c r="M254" s="3"/>
      <c r="N254" s="3"/>
      <c r="O254" s="3">
        <v>1</v>
      </c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>
        <v>1</v>
      </c>
      <c r="AB254" s="3">
        <v>1</v>
      </c>
      <c r="AC254" s="3">
        <v>1</v>
      </c>
      <c r="AD254" s="3"/>
      <c r="AE254" s="3">
        <v>1</v>
      </c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</row>
  </sheetData>
  <sortState xmlns:xlrd2="http://schemas.microsoft.com/office/spreadsheetml/2017/richdata2" ref="A1:GW254">
    <sortCondition ref="A1:A254"/>
  </sortState>
  <conditionalFormatting sqref="C1:AW254">
    <cfRule type="cellIs" dxfId="3" priority="1" operator="equal">
      <formula>4</formula>
    </cfRule>
    <cfRule type="cellIs" dxfId="2" priority="2" operator="equal">
      <formula>3</formula>
    </cfRule>
    <cfRule type="cellIs" dxfId="1" priority="3" operator="equal">
      <formula>2</formula>
    </cfRule>
    <cfRule type="cellIs" dxfId="0" priority="4" operator="equal">
      <formula>1</formula>
    </cfRule>
  </conditionalFormatting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94A6429341F04598532DFAEA220CE4" ma:contentTypeVersion="13" ma:contentTypeDescription="Create a new document." ma:contentTypeScope="" ma:versionID="0db0f60e27efbf256517272a09843d7a">
  <xsd:schema xmlns:xsd="http://www.w3.org/2001/XMLSchema" xmlns:xs="http://www.w3.org/2001/XMLSchema" xmlns:p="http://schemas.microsoft.com/office/2006/metadata/properties" xmlns:ns3="1b86f2b8-53b8-4531-90e4-97cf0a0e3e37" xmlns:ns4="181fa201-a2b8-4c90-81eb-049b6bbc723a" targetNamespace="http://schemas.microsoft.com/office/2006/metadata/properties" ma:root="true" ma:fieldsID="0188d6707cc266d6dde2a6cdf4cb59ef" ns3:_="" ns4:_="">
    <xsd:import namespace="1b86f2b8-53b8-4531-90e4-97cf0a0e3e37"/>
    <xsd:import namespace="181fa201-a2b8-4c90-81eb-049b6bbc723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86f2b8-53b8-4531-90e4-97cf0a0e3e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1fa201-a2b8-4c90-81eb-049b6bbc72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9643EC-0BC3-4679-9E20-4F9457567CB3}">
  <ds:schemaRefs>
    <ds:schemaRef ds:uri="http://schemas.microsoft.com/office/2006/documentManagement/types"/>
    <ds:schemaRef ds:uri="181fa201-a2b8-4c90-81eb-049b6bbc723a"/>
    <ds:schemaRef ds:uri="1b86f2b8-53b8-4531-90e4-97cf0a0e3e37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purl.org/dc/dcmitype/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806FD0D6-95CC-4B65-AB15-6C8A827908A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81994E-E685-45A0-81AE-25A9CA64A4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86f2b8-53b8-4531-90e4-97cf0a0e3e37"/>
    <ds:schemaRef ds:uri="181fa201-a2b8-4c90-81eb-049b6bbc72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Operarios producción V1.00</vt:lpstr>
      <vt:lpstr>Operarios producción</vt:lpstr>
      <vt:lpstr>Hoja1</vt:lpstr>
      <vt:lpstr>'Operarios producción'!Print_Titles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Gracia, Alvaro</dc:creator>
  <cp:keywords/>
  <dc:description/>
  <cp:lastModifiedBy>Bustos, Daniel</cp:lastModifiedBy>
  <cp:revision/>
  <cp:lastPrinted>2026-01-19T11:42:31Z</cp:lastPrinted>
  <dcterms:created xsi:type="dcterms:W3CDTF">2020-03-31T18:12:11Z</dcterms:created>
  <dcterms:modified xsi:type="dcterms:W3CDTF">2026-02-05T07:26:17Z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0x010100EA94A6429341F04598532DFAEA220CE4</vt:lpwstr>
  </property>
</Properties>
</file>